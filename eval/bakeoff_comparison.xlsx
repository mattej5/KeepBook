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vinjones/Projects/gemma-hackathon/eval/"/>
    </mc:Choice>
  </mc:AlternateContent>
  <xr:revisionPtr revIDLastSave="0" documentId="13_ncr:1_{42208013-1671-3841-8E22-E4F92598155D}" xr6:coauthVersionLast="47" xr6:coauthVersionMax="47" xr10:uidLastSave="{00000000-0000-0000-0000-000000000000}"/>
  <bookViews>
    <workbookView xWindow="-20" yWindow="660" windowWidth="34560" windowHeight="20340" xr2:uid="{00000000-000D-0000-FFFF-FFFF00000000}"/>
  </bookViews>
  <sheets>
    <sheet name="Summary" sheetId="1" r:id="rId1"/>
    <sheet name="Field Detail" sheetId="2" r:id="rId2"/>
    <sheet name="Per-D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B11" i="1"/>
  <c r="C10" i="1"/>
  <c r="B10" i="1"/>
  <c r="C8" i="1"/>
  <c r="B8" i="1"/>
  <c r="C7" i="1"/>
  <c r="C9" i="1" s="1"/>
  <c r="B7" i="1"/>
  <c r="B9" i="1" s="1"/>
  <c r="C5" i="1"/>
  <c r="C6" i="1" s="1"/>
  <c r="B5" i="1"/>
  <c r="B6" i="1" s="1"/>
  <c r="C4" i="1"/>
  <c r="B4" i="1"/>
</calcChain>
</file>

<file path=xl/sharedStrings.xml><?xml version="1.0" encoding="utf-8"?>
<sst xmlns="http://schemas.openxmlformats.org/spreadsheetml/2006/main" count="887" uniqueCount="205">
  <si>
    <t>Ollama vs Courier OS bake-off — Gemma 4 E4B, full eval run</t>
  </si>
  <si>
    <t>KeepBook on-device tax document sorter · 2026-07-18 · same eval harness, prompts, and scoring for both runtimes</t>
  </si>
  <si>
    <t>Ollama e4b (Q4_K_M, as-shipped)</t>
  </si>
  <si>
    <t>Courier e4b (MLX 4-bit + pan-and-scan)</t>
  </si>
  <si>
    <t>Docs evaluated</t>
  </si>
  <si>
    <t>Doc-type correct</t>
  </si>
  <si>
    <t>Doc-type accuracy</t>
  </si>
  <si>
    <t>Fields correct</t>
  </si>
  <si>
    <t>Fields total</t>
  </si>
  <si>
    <t>Field accuracy</t>
  </si>
  <si>
    <t>Median latency (s)</t>
  </si>
  <si>
    <t>Field verdict check (Field Detail)</t>
  </si>
  <si>
    <t>Notes / provenance:</t>
  </si>
  <si>
    <t>• Source data: eval/results_final_e4b.json (Ollama, run Jul 17-18) and eval/results_courier_e4b_panscan.json (Courier, run Jul 18 ~1:30 PM), both produced by eval/run_eval.py against eval/labels.json ground truth.</t>
  </si>
  <si>
    <t>• Every number above is calculated by formula from the Per-Doc and Field Detail sheets, which hold the raw per-document and per-field results.</t>
  </si>
  <si>
    <t>• The Ollama baseline predates 3 classify-only docs added to the test set (rows marked 'not in baseline run'); both runs score the same 106 extraction fields.</t>
  </si>
  <si>
    <t>• Courier model: FakeRockert543/gemma-4-e4b-it-MLX-4bit, ctx 8192. Ollama model: gemma4:e4b Q4_K_M. Same model family, both 4-bit class.</t>
  </si>
  <si>
    <t>• Fairness caveat: pan-and-scan (full page + zoomed crops per request) is implemented in the Courier adapter path only; an Ollama+pan-and-scan run has not been performed.</t>
  </si>
  <si>
    <t>• 'Field verdict check' recounts correct fields from the per-field sheet as a cross-check of the Per-Doc tallies.</t>
  </si>
  <si>
    <t>File</t>
  </si>
  <si>
    <t>Field</t>
  </si>
  <si>
    <t>Expected</t>
  </si>
  <si>
    <t>Ollama predicted</t>
  </si>
  <si>
    <t>Ollama verdict</t>
  </si>
  <si>
    <t>Courier predicted</t>
  </si>
  <si>
    <t>Courier verdict</t>
  </si>
  <si>
    <t>1098_clean_01.png</t>
  </si>
  <si>
    <t>borrower_name</t>
  </si>
  <si>
    <t>Tobias G. Delacroix</t>
  </si>
  <si>
    <t>correct</t>
  </si>
  <si>
    <t>box1_mortgage_interest</t>
  </si>
  <si>
    <t>17725.14</t>
  </si>
  <si>
    <t>17,725.14</t>
  </si>
  <si>
    <t>lender</t>
  </si>
  <si>
    <t>Copperline Bank</t>
  </si>
  <si>
    <t>Coppell Bank</t>
  </si>
  <si>
    <t>wrong</t>
  </si>
  <si>
    <t>Coppertine Bank</t>
  </si>
  <si>
    <t>1098_clean_02.png</t>
  </si>
  <si>
    <t>Dominic D. Marchetti</t>
  </si>
  <si>
    <t>3959.09</t>
  </si>
  <si>
    <t>$3,959.09</t>
  </si>
  <si>
    <t>1098_hand_01_filled.png</t>
  </si>
  <si>
    <t>Celeste M. Okonkwo</t>
  </si>
  <si>
    <t>Celesle M. Okonkwo</t>
  </si>
  <si>
    <t>11932.60</t>
  </si>
  <si>
    <t>11,932.60</t>
  </si>
  <si>
    <t>$11,932.60</t>
  </si>
  <si>
    <t>Wasatch Home Lending</t>
  </si>
  <si>
    <t>1098_photo_01.png</t>
  </si>
  <si>
    <t>$17,725.14</t>
  </si>
  <si>
    <t>1098_photo_02.png</t>
  </si>
  <si>
    <t>Dominic D Marchatti</t>
  </si>
  <si>
    <t>1099int_clean_01.png</t>
  </si>
  <si>
    <t>box1_interest_income</t>
  </si>
  <si>
    <t>7706.17</t>
  </si>
  <si>
    <t>7,706.17</t>
  </si>
  <si>
    <t>payer</t>
  </si>
  <si>
    <t>Cascade Federal Bank</t>
  </si>
  <si>
    <t>recipient_name</t>
  </si>
  <si>
    <t>Bianca F. Okafor</t>
  </si>
  <si>
    <t>1099int_clean_02.png</t>
  </si>
  <si>
    <t>4481.43</t>
  </si>
  <si>
    <t>4,481.43</t>
  </si>
  <si>
    <t>Union Trust Bank</t>
  </si>
  <si>
    <t>missing</t>
  </si>
  <si>
    <t>Ingrid P. Kowalski</t>
  </si>
  <si>
    <t>1099int_photo_01.png</t>
  </si>
  <si>
    <t>1099int_photo_02.png</t>
  </si>
  <si>
    <t>$4,481.43</t>
  </si>
  <si>
    <t>1099nec_clean_01.png</t>
  </si>
  <si>
    <t>box1_nonemployee_comp</t>
  </si>
  <si>
    <t>14029.45</t>
  </si>
  <si>
    <t>14,029.45</t>
  </si>
  <si>
    <t>Granite Peak Builders LLP</t>
  </si>
  <si>
    <t>Granite Peak Builders, L.L.C.</t>
  </si>
  <si>
    <t>Desmond L. Fitzgerald</t>
  </si>
  <si>
    <t>Desmond L Fitzerald</t>
  </si>
  <si>
    <t>recipient_tin</t>
  </si>
  <si>
    <t>491-02-3545</t>
  </si>
  <si>
    <t>1099nec_clean_02.png</t>
  </si>
  <si>
    <t>8272.97</t>
  </si>
  <si>
    <t>8,272.97</t>
  </si>
  <si>
    <t>Thistledown Farms LLP</t>
  </si>
  <si>
    <t>Tristledown Farms II, L.L.C.</t>
  </si>
  <si>
    <t>Ezra B. Kowalski</t>
  </si>
  <si>
    <t>47-1476565</t>
  </si>
  <si>
    <t>77-4298642</t>
  </si>
  <si>
    <t>1099nec_clean_03.png</t>
  </si>
  <si>
    <t>25609.81</t>
  </si>
  <si>
    <t>25,609.81</t>
  </si>
  <si>
    <t>Coppervale Software Co.</t>
  </si>
  <si>
    <t>Gunnar K. Abernathy</t>
  </si>
  <si>
    <t>Gunmar K. Abramathy</t>
  </si>
  <si>
    <t>Gunnar K. Abermathy</t>
  </si>
  <si>
    <t>486-36-9275</t>
  </si>
  <si>
    <t>986-36-6275</t>
  </si>
  <si>
    <t>1099nec_hand_01_filled.png</t>
  </si>
  <si>
    <t>19847.02</t>
  </si>
  <si>
    <t>19,847.02</t>
  </si>
  <si>
    <t>Redrock Media Group</t>
  </si>
  <si>
    <t>Red Rock Media Group</t>
  </si>
  <si>
    <t>Omar T. Lindqvist</t>
  </si>
  <si>
    <t>Omar T. Lindquist</t>
  </si>
  <si>
    <t>521-64-8837</t>
  </si>
  <si>
    <t>1099nec_photo_01.png</t>
  </si>
  <si>
    <t>Desmond L Fitzgerald</t>
  </si>
  <si>
    <t>1099nec_photo_02.png</t>
  </si>
  <si>
    <t>Ezra B Kowalski</t>
  </si>
  <si>
    <t>1099nec_photo_03.png</t>
  </si>
  <si>
    <t>Copperville Software Co.</t>
  </si>
  <si>
    <t>Gunnar K Abernathy</t>
  </si>
  <si>
    <t>k1_clean_01.png</t>
  </si>
  <si>
    <t>ordinary_income</t>
  </si>
  <si>
    <t>114563.75</t>
  </si>
  <si>
    <t>114,563.75</t>
  </si>
  <si>
    <t>partner_name</t>
  </si>
  <si>
    <t>Rashid P. Bergstrom</t>
  </si>
  <si>
    <t>partnership_ein</t>
  </si>
  <si>
    <t>73-8796124</t>
  </si>
  <si>
    <t>partnership_name</t>
  </si>
  <si>
    <t>Blue Ridge Analytics Inc.</t>
  </si>
  <si>
    <t>k1_clean_02.png</t>
  </si>
  <si>
    <t>25516.38</t>
  </si>
  <si>
    <t>Bianca S. Okafor</t>
  </si>
  <si>
    <t>28-8403504</t>
  </si>
  <si>
    <t>Meridian Data Systems Inc.</t>
  </si>
  <si>
    <t>k1_photo_01.png</t>
  </si>
  <si>
    <t>k1_photo_02.png</t>
  </si>
  <si>
    <t>w2_clean_01.png</t>
  </si>
  <si>
    <t>box1_wages</t>
  </si>
  <si>
    <t>101775.13</t>
  </si>
  <si>
    <t>101,775.13</t>
  </si>
  <si>
    <t>box2_fed_withheld</t>
  </si>
  <si>
    <t>10410.79</t>
  </si>
  <si>
    <t>10,410.79</t>
  </si>
  <si>
    <t>employee_name</t>
  </si>
  <si>
    <t>Rashid B. Bergstrom</t>
  </si>
  <si>
    <t>Rashid B Bergstrom</t>
  </si>
  <si>
    <t>employer</t>
  </si>
  <si>
    <t>Blue Ridge Analytics LLP</t>
  </si>
  <si>
    <t>Blue Ridge Analytics L.L.P</t>
  </si>
  <si>
    <t>ssn</t>
  </si>
  <si>
    <t>432-47-9397</t>
  </si>
  <si>
    <t>w2_clean_02.png</t>
  </si>
  <si>
    <t>97262.94</t>
  </si>
  <si>
    <t>97,262.94</t>
  </si>
  <si>
    <t>14179.97</t>
  </si>
  <si>
    <t>14,179.97</t>
  </si>
  <si>
    <t>Gunnar N. Nakamura</t>
  </si>
  <si>
    <t>Ironwood Manufacturing Inc.</t>
  </si>
  <si>
    <t>480-31-3733</t>
  </si>
  <si>
    <t>w2_clean_03.png</t>
  </si>
  <si>
    <t>81187.24</t>
  </si>
  <si>
    <t>81,187.24</t>
  </si>
  <si>
    <t>14906.34</t>
  </si>
  <si>
    <t>14,906.34</t>
  </si>
  <si>
    <t>Tobias D. Marchetti</t>
  </si>
  <si>
    <t>Tobias D Marchetti</t>
  </si>
  <si>
    <t>Blue Ridge Analytics LLC</t>
  </si>
  <si>
    <t>419-38-8904</t>
  </si>
  <si>
    <t>w2_hand_01_filled.png</t>
  </si>
  <si>
    <t>54318.77</t>
  </si>
  <si>
    <t>54,318.77</t>
  </si>
  <si>
    <t>6204.15</t>
  </si>
  <si>
    <t>6,204.15</t>
  </si>
  <si>
    <t>Priya N. Vasquez</t>
  </si>
  <si>
    <t>Priya Vasquez</t>
  </si>
  <si>
    <t>Hollow Pine Outfitters</t>
  </si>
  <si>
    <t>437-88-2210</t>
  </si>
  <si>
    <t>457-88-2210</t>
  </si>
  <si>
    <t>w2_photo_01.png</t>
  </si>
  <si>
    <t>6,410.79</t>
  </si>
  <si>
    <t>w2_photo_02.png</t>
  </si>
  <si>
    <t>97,202.94</t>
  </si>
  <si>
    <t>6,151.27</t>
  </si>
  <si>
    <t>Gunnar N Nakamura</t>
  </si>
  <si>
    <t>w2_photo_03.png</t>
  </si>
  <si>
    <t>222222</t>
  </si>
  <si>
    <t>Expected type</t>
  </si>
  <si>
    <t>Ollama type</t>
  </si>
  <si>
    <t>Ollama type OK</t>
  </si>
  <si>
    <t>Ollama fields correct</t>
  </si>
  <si>
    <t>Ollama fields total</t>
  </si>
  <si>
    <t>Ollama latency (s)</t>
  </si>
  <si>
    <t>Courier type</t>
  </si>
  <si>
    <t>Courier type OK</t>
  </si>
  <si>
    <t>Courier fields correct</t>
  </si>
  <si>
    <t>Courier fields total</t>
  </si>
  <si>
    <t>Courier latency (s)</t>
  </si>
  <si>
    <t>1098</t>
  </si>
  <si>
    <t>1099-INT</t>
  </si>
  <si>
    <t>1099-NEC</t>
  </si>
  <si>
    <t>brokerage_stmt_01.png</t>
  </si>
  <si>
    <t>BROKERAGE STATEMENT</t>
  </si>
  <si>
    <t>(not in baseline run)</t>
  </si>
  <si>
    <t>charitable_receipt_01.png</t>
  </si>
  <si>
    <t>CHARITABLE RECEIPT</t>
  </si>
  <si>
    <t>K-1</t>
  </si>
  <si>
    <t>letter_01.png</t>
  </si>
  <si>
    <t>UNRECOGNIZED</t>
  </si>
  <si>
    <t>receipt_01.png</t>
  </si>
  <si>
    <t>W-2</t>
  </si>
  <si>
    <t>w9_01.png</t>
  </si>
  <si>
    <t>W-9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</si>
</sst>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color rgb="FF006100"/>
      <name val="Arial"/>
    </font>
    <font>
      <sz val="11"/>
      <color rgb="FF9C0006"/>
      <name val="Arial"/>
    </font>
    <font>
      <i/>
      <sz val="9"/>
      <color rgb="FF555555"/>
      <name val="Arial"/>
    </font>
    <font>
      <b/>
      <sz val="14"/>
      <name val="Arial"/>
    </font>
    <font>
      <b/>
      <sz val="11"/>
      <name val="Arial"/>
    </font>
    <font>
      <b/>
      <sz val="9"/>
      <color rgb="FF555555"/>
      <name val="Arial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0" borderId="0" xfId="0" applyFont="1"/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8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9" fillId="0" borderId="0" xfId="0" applyFont="1"/>
    <xf numFmtId="0" fontId="2" fillId="3" borderId="0" xfId="0" applyFont="1" applyFill="1" applyAlignment="1">
      <alignment vertical="top"/>
    </xf>
    <xf numFmtId="164" fontId="2" fillId="3" borderId="0" xfId="0" applyNumberFormat="1" applyFont="1" applyFill="1" applyAlignment="1">
      <alignment vertical="top"/>
    </xf>
    <xf numFmtId="165" fontId="2" fillId="3" borderId="0" xfId="0" applyNumberFormat="1" applyFont="1" applyFill="1" applyAlignment="1">
      <alignment vertical="top"/>
    </xf>
    <xf numFmtId="0" fontId="2" fillId="4" borderId="0" xfId="0" applyFont="1" applyFill="1" applyAlignment="1">
      <alignment vertical="top"/>
    </xf>
    <xf numFmtId="164" fontId="2" fillId="4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zoomScale="120" zoomScaleNormal="120" workbookViewId="0">
      <selection activeCell="E12" sqref="E12"/>
    </sheetView>
  </sheetViews>
  <sheetFormatPr baseColWidth="10" defaultColWidth="8.83203125" defaultRowHeight="15" x14ac:dyDescent="0.2"/>
  <cols>
    <col min="1" max="2" width="34" customWidth="1"/>
    <col min="3" max="3" width="40" customWidth="1"/>
    <col min="4" max="4" width="9.6640625" customWidth="1"/>
  </cols>
  <sheetData>
    <row r="1" spans="1:4" ht="18" x14ac:dyDescent="0.2">
      <c r="A1" s="1" t="s">
        <v>0</v>
      </c>
    </row>
    <row r="2" spans="1:4" x14ac:dyDescent="0.2">
      <c r="A2" s="2" t="s">
        <v>1</v>
      </c>
    </row>
    <row r="3" spans="1:4" x14ac:dyDescent="0.2">
      <c r="A3" s="3"/>
      <c r="B3" s="4" t="s">
        <v>2</v>
      </c>
      <c r="C3" s="4" t="s">
        <v>3</v>
      </c>
      <c r="D3" s="13"/>
    </row>
    <row r="4" spans="1:4" x14ac:dyDescent="0.2">
      <c r="A4" s="5" t="s">
        <v>4</v>
      </c>
      <c r="B4" s="6">
        <f>COUNTIF('Per-Doc'!D2:D33,"&lt;&gt;")</f>
        <v>29</v>
      </c>
      <c r="C4" s="14">
        <f>COUNTIF('Per-Doc'!I2:I33,"&lt;&gt;")</f>
        <v>32</v>
      </c>
    </row>
    <row r="5" spans="1:4" x14ac:dyDescent="0.2">
      <c r="A5" s="5" t="s">
        <v>5</v>
      </c>
      <c r="B5" s="6">
        <f>SUM('Per-Doc'!D2:D33)</f>
        <v>29</v>
      </c>
      <c r="C5" s="14">
        <f>SUM('Per-Doc'!I2:I33)</f>
        <v>32</v>
      </c>
    </row>
    <row r="6" spans="1:4" x14ac:dyDescent="0.2">
      <c r="A6" s="5" t="s">
        <v>6</v>
      </c>
      <c r="B6" s="18">
        <f>B5/B4</f>
        <v>1</v>
      </c>
      <c r="C6" s="18">
        <f>C5/C4</f>
        <v>1</v>
      </c>
    </row>
    <row r="7" spans="1:4" x14ac:dyDescent="0.2">
      <c r="A7" s="5" t="s">
        <v>7</v>
      </c>
      <c r="B7" s="6">
        <f>SUM('Per-Doc'!E2:E33)</f>
        <v>66</v>
      </c>
      <c r="C7" s="14">
        <f>SUM('Per-Doc'!J2:J33)</f>
        <v>97</v>
      </c>
    </row>
    <row r="8" spans="1:4" x14ac:dyDescent="0.2">
      <c r="A8" s="5" t="s">
        <v>8</v>
      </c>
      <c r="B8" s="17">
        <f>SUM('Per-Doc'!F2:F33)</f>
        <v>106</v>
      </c>
      <c r="C8" s="17">
        <f>SUM('Per-Doc'!K2:K33)</f>
        <v>106</v>
      </c>
    </row>
    <row r="9" spans="1:4" x14ac:dyDescent="0.2">
      <c r="A9" s="5" t="s">
        <v>9</v>
      </c>
      <c r="B9" s="7">
        <f>B7/B8</f>
        <v>0.62264150943396224</v>
      </c>
      <c r="C9" s="15">
        <f>C7/C8</f>
        <v>0.91509433962264153</v>
      </c>
    </row>
    <row r="10" spans="1:4" x14ac:dyDescent="0.2">
      <c r="A10" s="5" t="s">
        <v>10</v>
      </c>
      <c r="B10" s="8">
        <f>MEDIAN('Per-Doc'!G2:G33)</f>
        <v>17.7</v>
      </c>
      <c r="C10" s="16">
        <f>MEDIAN('Per-Doc'!L2:L33)</f>
        <v>7.05</v>
      </c>
    </row>
    <row r="11" spans="1:4" x14ac:dyDescent="0.2">
      <c r="A11" s="5" t="s">
        <v>11</v>
      </c>
      <c r="B11" s="6">
        <f>COUNTIF('Field Detail'!E2:E107,"correct")</f>
        <v>66</v>
      </c>
      <c r="C11" s="14">
        <f>COUNTIF('Field Detail'!G2:G107,"correct")</f>
        <v>97</v>
      </c>
    </row>
    <row r="13" spans="1:4" x14ac:dyDescent="0.2">
      <c r="A13" s="2"/>
    </row>
    <row r="14" spans="1:4" x14ac:dyDescent="0.2">
      <c r="A14" s="9" t="s">
        <v>12</v>
      </c>
    </row>
    <row r="15" spans="1:4" x14ac:dyDescent="0.2">
      <c r="A15" s="2" t="s">
        <v>13</v>
      </c>
    </row>
    <row r="16" spans="1:4" x14ac:dyDescent="0.2">
      <c r="A16" s="2" t="s">
        <v>14</v>
      </c>
    </row>
    <row r="17" spans="1:1" x14ac:dyDescent="0.2">
      <c r="A17" s="2" t="s">
        <v>15</v>
      </c>
    </row>
    <row r="18" spans="1:1" x14ac:dyDescent="0.2">
      <c r="A18" s="2" t="s">
        <v>16</v>
      </c>
    </row>
    <row r="19" spans="1:1" x14ac:dyDescent="0.2">
      <c r="A19" s="2" t="s">
        <v>17</v>
      </c>
    </row>
    <row r="20" spans="1:1" x14ac:dyDescent="0.2">
      <c r="A20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26" customWidth="1"/>
    <col min="4" max="4" width="30" customWidth="1"/>
    <col min="5" max="5" width="13" customWidth="1"/>
    <col min="6" max="6" width="30" customWidth="1"/>
    <col min="7" max="7" width="14" customWidth="1"/>
  </cols>
  <sheetData>
    <row r="1" spans="1:7" x14ac:dyDescent="0.2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10" t="s">
        <v>24</v>
      </c>
      <c r="G1" s="10" t="s">
        <v>25</v>
      </c>
    </row>
    <row r="2" spans="1:7" x14ac:dyDescent="0.2">
      <c r="A2" s="5" t="s">
        <v>26</v>
      </c>
      <c r="B2" s="5" t="s">
        <v>27</v>
      </c>
      <c r="C2" s="5" t="s">
        <v>28</v>
      </c>
      <c r="D2" s="5" t="s">
        <v>28</v>
      </c>
      <c r="E2" s="11" t="s">
        <v>29</v>
      </c>
      <c r="F2" s="5" t="s">
        <v>28</v>
      </c>
      <c r="G2" s="11" t="s">
        <v>29</v>
      </c>
    </row>
    <row r="3" spans="1:7" x14ac:dyDescent="0.2">
      <c r="A3" s="5" t="s">
        <v>26</v>
      </c>
      <c r="B3" s="5" t="s">
        <v>30</v>
      </c>
      <c r="C3" s="5" t="s">
        <v>31</v>
      </c>
      <c r="D3" s="5" t="s">
        <v>32</v>
      </c>
      <c r="E3" s="11" t="s">
        <v>29</v>
      </c>
      <c r="F3" s="5" t="s">
        <v>32</v>
      </c>
      <c r="G3" s="11" t="s">
        <v>29</v>
      </c>
    </row>
    <row r="4" spans="1:7" x14ac:dyDescent="0.2">
      <c r="A4" s="5" t="s">
        <v>26</v>
      </c>
      <c r="B4" s="5" t="s">
        <v>33</v>
      </c>
      <c r="C4" s="5" t="s">
        <v>34</v>
      </c>
      <c r="D4" s="5" t="s">
        <v>35</v>
      </c>
      <c r="E4" s="12" t="s">
        <v>36</v>
      </c>
      <c r="F4" s="5" t="s">
        <v>37</v>
      </c>
      <c r="G4" s="12" t="s">
        <v>36</v>
      </c>
    </row>
    <row r="5" spans="1:7" x14ac:dyDescent="0.2">
      <c r="A5" s="5" t="s">
        <v>38</v>
      </c>
      <c r="B5" s="5" t="s">
        <v>27</v>
      </c>
      <c r="C5" s="5" t="s">
        <v>39</v>
      </c>
      <c r="D5" s="5" t="s">
        <v>39</v>
      </c>
      <c r="E5" s="11" t="s">
        <v>29</v>
      </c>
      <c r="F5" s="5" t="s">
        <v>39</v>
      </c>
      <c r="G5" s="11" t="s">
        <v>29</v>
      </c>
    </row>
    <row r="6" spans="1:7" x14ac:dyDescent="0.2">
      <c r="A6" s="5" t="s">
        <v>38</v>
      </c>
      <c r="B6" s="5" t="s">
        <v>30</v>
      </c>
      <c r="C6" s="5" t="s">
        <v>40</v>
      </c>
      <c r="D6" s="5" t="s">
        <v>41</v>
      </c>
      <c r="E6" s="11" t="s">
        <v>29</v>
      </c>
      <c r="F6" s="5" t="s">
        <v>41</v>
      </c>
      <c r="G6" s="11" t="s">
        <v>29</v>
      </c>
    </row>
    <row r="7" spans="1:7" x14ac:dyDescent="0.2">
      <c r="A7" s="5" t="s">
        <v>38</v>
      </c>
      <c r="B7" s="5" t="s">
        <v>33</v>
      </c>
      <c r="C7" s="5" t="s">
        <v>34</v>
      </c>
      <c r="D7" s="5" t="s">
        <v>35</v>
      </c>
      <c r="E7" s="12" t="s">
        <v>36</v>
      </c>
      <c r="F7" s="5" t="s">
        <v>37</v>
      </c>
      <c r="G7" s="12" t="s">
        <v>36</v>
      </c>
    </row>
    <row r="8" spans="1:7" x14ac:dyDescent="0.2">
      <c r="A8" s="5" t="s">
        <v>42</v>
      </c>
      <c r="B8" s="5" t="s">
        <v>27</v>
      </c>
      <c r="C8" s="5" t="s">
        <v>43</v>
      </c>
      <c r="D8" s="5" t="s">
        <v>44</v>
      </c>
      <c r="E8" s="12" t="s">
        <v>36</v>
      </c>
      <c r="F8" s="5" t="s">
        <v>43</v>
      </c>
      <c r="G8" s="11" t="s">
        <v>29</v>
      </c>
    </row>
    <row r="9" spans="1:7" x14ac:dyDescent="0.2">
      <c r="A9" s="5" t="s">
        <v>42</v>
      </c>
      <c r="B9" s="5" t="s">
        <v>30</v>
      </c>
      <c r="C9" s="5" t="s">
        <v>45</v>
      </c>
      <c r="D9" s="5" t="s">
        <v>46</v>
      </c>
      <c r="E9" s="11" t="s">
        <v>29</v>
      </c>
      <c r="F9" s="5" t="s">
        <v>47</v>
      </c>
      <c r="G9" s="11" t="s">
        <v>29</v>
      </c>
    </row>
    <row r="10" spans="1:7" x14ac:dyDescent="0.2">
      <c r="A10" s="5" t="s">
        <v>42</v>
      </c>
      <c r="B10" s="5" t="s">
        <v>33</v>
      </c>
      <c r="C10" s="5" t="s">
        <v>48</v>
      </c>
      <c r="D10" s="5" t="s">
        <v>48</v>
      </c>
      <c r="E10" s="11" t="s">
        <v>29</v>
      </c>
      <c r="F10" s="5" t="s">
        <v>48</v>
      </c>
      <c r="G10" s="11" t="s">
        <v>29</v>
      </c>
    </row>
    <row r="11" spans="1:7" x14ac:dyDescent="0.2">
      <c r="A11" s="5" t="s">
        <v>49</v>
      </c>
      <c r="B11" s="5" t="s">
        <v>27</v>
      </c>
      <c r="C11" s="5" t="s">
        <v>28</v>
      </c>
      <c r="D11" s="5" t="s">
        <v>28</v>
      </c>
      <c r="E11" s="11" t="s">
        <v>29</v>
      </c>
      <c r="F11" s="5" t="s">
        <v>28</v>
      </c>
      <c r="G11" s="11" t="s">
        <v>29</v>
      </c>
    </row>
    <row r="12" spans="1:7" x14ac:dyDescent="0.2">
      <c r="A12" s="5" t="s">
        <v>49</v>
      </c>
      <c r="B12" s="5" t="s">
        <v>30</v>
      </c>
      <c r="C12" s="5" t="s">
        <v>31</v>
      </c>
      <c r="D12" s="5" t="s">
        <v>32</v>
      </c>
      <c r="E12" s="11" t="s">
        <v>29</v>
      </c>
      <c r="F12" s="5" t="s">
        <v>50</v>
      </c>
      <c r="G12" s="11" t="s">
        <v>29</v>
      </c>
    </row>
    <row r="13" spans="1:7" x14ac:dyDescent="0.2">
      <c r="A13" s="5" t="s">
        <v>49</v>
      </c>
      <c r="B13" s="5" t="s">
        <v>33</v>
      </c>
      <c r="C13" s="5" t="s">
        <v>34</v>
      </c>
      <c r="D13" s="5" t="s">
        <v>35</v>
      </c>
      <c r="E13" s="12" t="s">
        <v>36</v>
      </c>
      <c r="F13" s="5" t="s">
        <v>34</v>
      </c>
      <c r="G13" s="11" t="s">
        <v>29</v>
      </c>
    </row>
    <row r="14" spans="1:7" x14ac:dyDescent="0.2">
      <c r="A14" s="5" t="s">
        <v>51</v>
      </c>
      <c r="B14" s="5" t="s">
        <v>27</v>
      </c>
      <c r="C14" s="5" t="s">
        <v>39</v>
      </c>
      <c r="D14" s="5" t="s">
        <v>52</v>
      </c>
      <c r="E14" s="12" t="s">
        <v>36</v>
      </c>
      <c r="F14" s="5" t="s">
        <v>39</v>
      </c>
      <c r="G14" s="11" t="s">
        <v>29</v>
      </c>
    </row>
    <row r="15" spans="1:7" x14ac:dyDescent="0.2">
      <c r="A15" s="5" t="s">
        <v>51</v>
      </c>
      <c r="B15" s="5" t="s">
        <v>30</v>
      </c>
      <c r="C15" s="5" t="s">
        <v>40</v>
      </c>
      <c r="D15" s="5" t="s">
        <v>41</v>
      </c>
      <c r="E15" s="11" t="s">
        <v>29</v>
      </c>
      <c r="F15" s="5" t="s">
        <v>41</v>
      </c>
      <c r="G15" s="11" t="s">
        <v>29</v>
      </c>
    </row>
    <row r="16" spans="1:7" x14ac:dyDescent="0.2">
      <c r="A16" s="5" t="s">
        <v>51</v>
      </c>
      <c r="B16" s="5" t="s">
        <v>33</v>
      </c>
      <c r="C16" s="5" t="s">
        <v>34</v>
      </c>
      <c r="D16" s="5" t="s">
        <v>37</v>
      </c>
      <c r="E16" s="12" t="s">
        <v>36</v>
      </c>
      <c r="F16" s="5" t="s">
        <v>37</v>
      </c>
      <c r="G16" s="12" t="s">
        <v>36</v>
      </c>
    </row>
    <row r="17" spans="1:7" x14ac:dyDescent="0.2">
      <c r="A17" s="5" t="s">
        <v>53</v>
      </c>
      <c r="B17" s="5" t="s">
        <v>54</v>
      </c>
      <c r="C17" s="5" t="s">
        <v>55</v>
      </c>
      <c r="D17" s="5" t="s">
        <v>56</v>
      </c>
      <c r="E17" s="11" t="s">
        <v>29</v>
      </c>
      <c r="F17" s="5" t="s">
        <v>56</v>
      </c>
      <c r="G17" s="11" t="s">
        <v>29</v>
      </c>
    </row>
    <row r="18" spans="1:7" x14ac:dyDescent="0.2">
      <c r="A18" s="5" t="s">
        <v>53</v>
      </c>
      <c r="B18" s="5" t="s">
        <v>57</v>
      </c>
      <c r="C18" s="5" t="s">
        <v>58</v>
      </c>
      <c r="D18" s="5" t="s">
        <v>58</v>
      </c>
      <c r="E18" s="11" t="s">
        <v>29</v>
      </c>
      <c r="F18" s="5" t="s">
        <v>58</v>
      </c>
      <c r="G18" s="11" t="s">
        <v>29</v>
      </c>
    </row>
    <row r="19" spans="1:7" x14ac:dyDescent="0.2">
      <c r="A19" s="5" t="s">
        <v>53</v>
      </c>
      <c r="B19" s="5" t="s">
        <v>59</v>
      </c>
      <c r="C19" s="5" t="s">
        <v>60</v>
      </c>
      <c r="D19" s="5" t="s">
        <v>60</v>
      </c>
      <c r="E19" s="11" t="s">
        <v>29</v>
      </c>
      <c r="F19" s="5" t="s">
        <v>60</v>
      </c>
      <c r="G19" s="11" t="s">
        <v>29</v>
      </c>
    </row>
    <row r="20" spans="1:7" x14ac:dyDescent="0.2">
      <c r="A20" s="5" t="s">
        <v>61</v>
      </c>
      <c r="B20" s="5" t="s">
        <v>54</v>
      </c>
      <c r="C20" s="5" t="s">
        <v>62</v>
      </c>
      <c r="D20" s="5" t="s">
        <v>63</v>
      </c>
      <c r="E20" s="11" t="s">
        <v>29</v>
      </c>
      <c r="F20" s="5" t="s">
        <v>63</v>
      </c>
      <c r="G20" s="11" t="s">
        <v>29</v>
      </c>
    </row>
    <row r="21" spans="1:7" x14ac:dyDescent="0.2">
      <c r="A21" s="5" t="s">
        <v>61</v>
      </c>
      <c r="B21" s="5" t="s">
        <v>57</v>
      </c>
      <c r="C21" s="5" t="s">
        <v>64</v>
      </c>
      <c r="D21" s="5"/>
      <c r="E21" s="12" t="s">
        <v>65</v>
      </c>
      <c r="F21" s="5" t="s">
        <v>64</v>
      </c>
      <c r="G21" s="11" t="s">
        <v>29</v>
      </c>
    </row>
    <row r="22" spans="1:7" x14ac:dyDescent="0.2">
      <c r="A22" s="5" t="s">
        <v>61</v>
      </c>
      <c r="B22" s="5" t="s">
        <v>59</v>
      </c>
      <c r="C22" s="5" t="s">
        <v>66</v>
      </c>
      <c r="D22" s="5" t="s">
        <v>66</v>
      </c>
      <c r="E22" s="11" t="s">
        <v>29</v>
      </c>
      <c r="F22" s="5" t="s">
        <v>66</v>
      </c>
      <c r="G22" s="11" t="s">
        <v>29</v>
      </c>
    </row>
    <row r="23" spans="1:7" x14ac:dyDescent="0.2">
      <c r="A23" s="5" t="s">
        <v>67</v>
      </c>
      <c r="B23" s="5" t="s">
        <v>54</v>
      </c>
      <c r="C23" s="5" t="s">
        <v>55</v>
      </c>
      <c r="D23" s="5" t="s">
        <v>56</v>
      </c>
      <c r="E23" s="11" t="s">
        <v>29</v>
      </c>
      <c r="F23" s="5" t="s">
        <v>56</v>
      </c>
      <c r="G23" s="11" t="s">
        <v>29</v>
      </c>
    </row>
    <row r="24" spans="1:7" x14ac:dyDescent="0.2">
      <c r="A24" s="5" t="s">
        <v>67</v>
      </c>
      <c r="B24" s="5" t="s">
        <v>57</v>
      </c>
      <c r="C24" s="5" t="s">
        <v>58</v>
      </c>
      <c r="D24" s="5"/>
      <c r="E24" s="12" t="s">
        <v>65</v>
      </c>
      <c r="F24" s="5" t="s">
        <v>58</v>
      </c>
      <c r="G24" s="11" t="s">
        <v>29</v>
      </c>
    </row>
    <row r="25" spans="1:7" x14ac:dyDescent="0.2">
      <c r="A25" s="5" t="s">
        <v>67</v>
      </c>
      <c r="B25" s="5" t="s">
        <v>59</v>
      </c>
      <c r="C25" s="5" t="s">
        <v>60</v>
      </c>
      <c r="D25" s="5" t="s">
        <v>60</v>
      </c>
      <c r="E25" s="11" t="s">
        <v>29</v>
      </c>
      <c r="F25" s="5" t="s">
        <v>60</v>
      </c>
      <c r="G25" s="11" t="s">
        <v>29</v>
      </c>
    </row>
    <row r="26" spans="1:7" x14ac:dyDescent="0.2">
      <c r="A26" s="5" t="s">
        <v>68</v>
      </c>
      <c r="B26" s="5" t="s">
        <v>54</v>
      </c>
      <c r="C26" s="5" t="s">
        <v>62</v>
      </c>
      <c r="D26" s="5" t="s">
        <v>69</v>
      </c>
      <c r="E26" s="11" t="s">
        <v>29</v>
      </c>
      <c r="F26" s="5" t="s">
        <v>63</v>
      </c>
      <c r="G26" s="11" t="s">
        <v>29</v>
      </c>
    </row>
    <row r="27" spans="1:7" x14ac:dyDescent="0.2">
      <c r="A27" s="5" t="s">
        <v>68</v>
      </c>
      <c r="B27" s="5" t="s">
        <v>57</v>
      </c>
      <c r="C27" s="5" t="s">
        <v>64</v>
      </c>
      <c r="D27" s="5" t="s">
        <v>64</v>
      </c>
      <c r="E27" s="11" t="s">
        <v>29</v>
      </c>
      <c r="F27" s="5" t="s">
        <v>64</v>
      </c>
      <c r="G27" s="11" t="s">
        <v>29</v>
      </c>
    </row>
    <row r="28" spans="1:7" x14ac:dyDescent="0.2">
      <c r="A28" s="5" t="s">
        <v>68</v>
      </c>
      <c r="B28" s="5" t="s">
        <v>59</v>
      </c>
      <c r="C28" s="5" t="s">
        <v>66</v>
      </c>
      <c r="D28" s="5" t="s">
        <v>66</v>
      </c>
      <c r="E28" s="11" t="s">
        <v>29</v>
      </c>
      <c r="F28" s="5" t="s">
        <v>66</v>
      </c>
      <c r="G28" s="11" t="s">
        <v>29</v>
      </c>
    </row>
    <row r="29" spans="1:7" x14ac:dyDescent="0.2">
      <c r="A29" s="5" t="s">
        <v>70</v>
      </c>
      <c r="B29" s="5" t="s">
        <v>71</v>
      </c>
      <c r="C29" s="5" t="s">
        <v>72</v>
      </c>
      <c r="D29" s="5" t="s">
        <v>73</v>
      </c>
      <c r="E29" s="11" t="s">
        <v>29</v>
      </c>
      <c r="F29" s="5" t="s">
        <v>73</v>
      </c>
      <c r="G29" s="11" t="s">
        <v>29</v>
      </c>
    </row>
    <row r="30" spans="1:7" x14ac:dyDescent="0.2">
      <c r="A30" s="5" t="s">
        <v>70</v>
      </c>
      <c r="B30" s="5" t="s">
        <v>57</v>
      </c>
      <c r="C30" s="5" t="s">
        <v>74</v>
      </c>
      <c r="D30" s="5" t="s">
        <v>75</v>
      </c>
      <c r="E30" s="12" t="s">
        <v>36</v>
      </c>
      <c r="F30" s="5" t="s">
        <v>74</v>
      </c>
      <c r="G30" s="11" t="s">
        <v>29</v>
      </c>
    </row>
    <row r="31" spans="1:7" x14ac:dyDescent="0.2">
      <c r="A31" s="5" t="s">
        <v>70</v>
      </c>
      <c r="B31" s="5" t="s">
        <v>59</v>
      </c>
      <c r="C31" s="5" t="s">
        <v>76</v>
      </c>
      <c r="D31" s="5" t="s">
        <v>77</v>
      </c>
      <c r="E31" s="12" t="s">
        <v>36</v>
      </c>
      <c r="F31" s="5" t="s">
        <v>76</v>
      </c>
      <c r="G31" s="11" t="s">
        <v>29</v>
      </c>
    </row>
    <row r="32" spans="1:7" x14ac:dyDescent="0.2">
      <c r="A32" s="5" t="s">
        <v>70</v>
      </c>
      <c r="B32" s="5" t="s">
        <v>78</v>
      </c>
      <c r="C32" s="5" t="s">
        <v>79</v>
      </c>
      <c r="D32" s="5" t="s">
        <v>79</v>
      </c>
      <c r="E32" s="11" t="s">
        <v>29</v>
      </c>
      <c r="F32" s="5" t="s">
        <v>79</v>
      </c>
      <c r="G32" s="11" t="s">
        <v>29</v>
      </c>
    </row>
    <row r="33" spans="1:7" x14ac:dyDescent="0.2">
      <c r="A33" s="5" t="s">
        <v>80</v>
      </c>
      <c r="B33" s="5" t="s">
        <v>71</v>
      </c>
      <c r="C33" s="5" t="s">
        <v>81</v>
      </c>
      <c r="D33" s="5" t="s">
        <v>82</v>
      </c>
      <c r="E33" s="11" t="s">
        <v>29</v>
      </c>
      <c r="F33" s="5" t="s">
        <v>82</v>
      </c>
      <c r="G33" s="11" t="s">
        <v>29</v>
      </c>
    </row>
    <row r="34" spans="1:7" x14ac:dyDescent="0.2">
      <c r="A34" s="5" t="s">
        <v>80</v>
      </c>
      <c r="B34" s="5" t="s">
        <v>57</v>
      </c>
      <c r="C34" s="5" t="s">
        <v>83</v>
      </c>
      <c r="D34" s="5" t="s">
        <v>84</v>
      </c>
      <c r="E34" s="12" t="s">
        <v>36</v>
      </c>
      <c r="F34" s="5" t="s">
        <v>83</v>
      </c>
      <c r="G34" s="11" t="s">
        <v>29</v>
      </c>
    </row>
    <row r="35" spans="1:7" x14ac:dyDescent="0.2">
      <c r="A35" s="5" t="s">
        <v>80</v>
      </c>
      <c r="B35" s="5" t="s">
        <v>59</v>
      </c>
      <c r="C35" s="5" t="s">
        <v>85</v>
      </c>
      <c r="D35" s="5" t="s">
        <v>85</v>
      </c>
      <c r="E35" s="11" t="s">
        <v>29</v>
      </c>
      <c r="F35" s="5" t="s">
        <v>85</v>
      </c>
      <c r="G35" s="11" t="s">
        <v>29</v>
      </c>
    </row>
    <row r="36" spans="1:7" x14ac:dyDescent="0.2">
      <c r="A36" s="5" t="s">
        <v>80</v>
      </c>
      <c r="B36" s="5" t="s">
        <v>78</v>
      </c>
      <c r="C36" s="5" t="s">
        <v>86</v>
      </c>
      <c r="D36" s="5" t="s">
        <v>87</v>
      </c>
      <c r="E36" s="12" t="s">
        <v>36</v>
      </c>
      <c r="F36" s="5" t="s">
        <v>86</v>
      </c>
      <c r="G36" s="11" t="s">
        <v>29</v>
      </c>
    </row>
    <row r="37" spans="1:7" x14ac:dyDescent="0.2">
      <c r="A37" s="5" t="s">
        <v>88</v>
      </c>
      <c r="B37" s="5" t="s">
        <v>71</v>
      </c>
      <c r="C37" s="5" t="s">
        <v>89</v>
      </c>
      <c r="D37" s="5" t="s">
        <v>90</v>
      </c>
      <c r="E37" s="11" t="s">
        <v>29</v>
      </c>
      <c r="F37" s="5" t="s">
        <v>90</v>
      </c>
      <c r="G37" s="11" t="s">
        <v>29</v>
      </c>
    </row>
    <row r="38" spans="1:7" x14ac:dyDescent="0.2">
      <c r="A38" s="5" t="s">
        <v>88</v>
      </c>
      <c r="B38" s="5" t="s">
        <v>57</v>
      </c>
      <c r="C38" s="5" t="s">
        <v>91</v>
      </c>
      <c r="D38" s="5" t="s">
        <v>91</v>
      </c>
      <c r="E38" s="11" t="s">
        <v>29</v>
      </c>
      <c r="F38" s="5" t="s">
        <v>91</v>
      </c>
      <c r="G38" s="11" t="s">
        <v>29</v>
      </c>
    </row>
    <row r="39" spans="1:7" x14ac:dyDescent="0.2">
      <c r="A39" s="5" t="s">
        <v>88</v>
      </c>
      <c r="B39" s="5" t="s">
        <v>59</v>
      </c>
      <c r="C39" s="5" t="s">
        <v>92</v>
      </c>
      <c r="D39" s="5" t="s">
        <v>93</v>
      </c>
      <c r="E39" s="12" t="s">
        <v>36</v>
      </c>
      <c r="F39" s="5" t="s">
        <v>94</v>
      </c>
      <c r="G39" s="12" t="s">
        <v>36</v>
      </c>
    </row>
    <row r="40" spans="1:7" x14ac:dyDescent="0.2">
      <c r="A40" s="5" t="s">
        <v>88</v>
      </c>
      <c r="B40" s="5" t="s">
        <v>78</v>
      </c>
      <c r="C40" s="5" t="s">
        <v>95</v>
      </c>
      <c r="D40" s="5" t="s">
        <v>96</v>
      </c>
      <c r="E40" s="12" t="s">
        <v>36</v>
      </c>
      <c r="F40" s="5" t="s">
        <v>95</v>
      </c>
      <c r="G40" s="11" t="s">
        <v>29</v>
      </c>
    </row>
    <row r="41" spans="1:7" x14ac:dyDescent="0.2">
      <c r="A41" s="5" t="s">
        <v>97</v>
      </c>
      <c r="B41" s="5" t="s">
        <v>71</v>
      </c>
      <c r="C41" s="5" t="s">
        <v>98</v>
      </c>
      <c r="D41" s="5" t="s">
        <v>99</v>
      </c>
      <c r="E41" s="11" t="s">
        <v>29</v>
      </c>
      <c r="F41" s="5" t="s">
        <v>99</v>
      </c>
      <c r="G41" s="11" t="s">
        <v>29</v>
      </c>
    </row>
    <row r="42" spans="1:7" x14ac:dyDescent="0.2">
      <c r="A42" s="5" t="s">
        <v>97</v>
      </c>
      <c r="B42" s="5" t="s">
        <v>57</v>
      </c>
      <c r="C42" s="5" t="s">
        <v>100</v>
      </c>
      <c r="D42" s="5" t="s">
        <v>101</v>
      </c>
      <c r="E42" s="12" t="s">
        <v>36</v>
      </c>
      <c r="F42" s="5" t="s">
        <v>100</v>
      </c>
      <c r="G42" s="11" t="s">
        <v>29</v>
      </c>
    </row>
    <row r="43" spans="1:7" x14ac:dyDescent="0.2">
      <c r="A43" s="5" t="s">
        <v>97</v>
      </c>
      <c r="B43" s="5" t="s">
        <v>59</v>
      </c>
      <c r="C43" s="5" t="s">
        <v>102</v>
      </c>
      <c r="D43" s="5" t="s">
        <v>103</v>
      </c>
      <c r="E43" s="12" t="s">
        <v>36</v>
      </c>
      <c r="F43" s="5" t="s">
        <v>103</v>
      </c>
      <c r="G43" s="12" t="s">
        <v>36</v>
      </c>
    </row>
    <row r="44" spans="1:7" x14ac:dyDescent="0.2">
      <c r="A44" s="5" t="s">
        <v>97</v>
      </c>
      <c r="B44" s="5" t="s">
        <v>78</v>
      </c>
      <c r="C44" s="5" t="s">
        <v>104</v>
      </c>
      <c r="D44" s="5" t="s">
        <v>104</v>
      </c>
      <c r="E44" s="11" t="s">
        <v>29</v>
      </c>
      <c r="F44" s="5" t="s">
        <v>104</v>
      </c>
      <c r="G44" s="11" t="s">
        <v>29</v>
      </c>
    </row>
    <row r="45" spans="1:7" x14ac:dyDescent="0.2">
      <c r="A45" s="5" t="s">
        <v>105</v>
      </c>
      <c r="B45" s="5" t="s">
        <v>71</v>
      </c>
      <c r="C45" s="5" t="s">
        <v>72</v>
      </c>
      <c r="D45" s="5" t="s">
        <v>73</v>
      </c>
      <c r="E45" s="11" t="s">
        <v>29</v>
      </c>
      <c r="F45" s="5" t="s">
        <v>73</v>
      </c>
      <c r="G45" s="11" t="s">
        <v>29</v>
      </c>
    </row>
    <row r="46" spans="1:7" x14ac:dyDescent="0.2">
      <c r="A46" s="5" t="s">
        <v>105</v>
      </c>
      <c r="B46" s="5" t="s">
        <v>57</v>
      </c>
      <c r="C46" s="5" t="s">
        <v>74</v>
      </c>
      <c r="D46" s="5" t="s">
        <v>74</v>
      </c>
      <c r="E46" s="11" t="s">
        <v>29</v>
      </c>
      <c r="F46" s="5" t="s">
        <v>74</v>
      </c>
      <c r="G46" s="11" t="s">
        <v>29</v>
      </c>
    </row>
    <row r="47" spans="1:7" x14ac:dyDescent="0.2">
      <c r="A47" s="5" t="s">
        <v>105</v>
      </c>
      <c r="B47" s="5" t="s">
        <v>59</v>
      </c>
      <c r="C47" s="5" t="s">
        <v>76</v>
      </c>
      <c r="D47" s="5" t="s">
        <v>106</v>
      </c>
      <c r="E47" s="11" t="s">
        <v>29</v>
      </c>
      <c r="F47" s="5" t="s">
        <v>76</v>
      </c>
      <c r="G47" s="11" t="s">
        <v>29</v>
      </c>
    </row>
    <row r="48" spans="1:7" x14ac:dyDescent="0.2">
      <c r="A48" s="5" t="s">
        <v>105</v>
      </c>
      <c r="B48" s="5" t="s">
        <v>78</v>
      </c>
      <c r="C48" s="5" t="s">
        <v>79</v>
      </c>
      <c r="D48" s="5" t="s">
        <v>79</v>
      </c>
      <c r="E48" s="11" t="s">
        <v>29</v>
      </c>
      <c r="F48" s="5" t="s">
        <v>79</v>
      </c>
      <c r="G48" s="11" t="s">
        <v>29</v>
      </c>
    </row>
    <row r="49" spans="1:7" x14ac:dyDescent="0.2">
      <c r="A49" s="5" t="s">
        <v>107</v>
      </c>
      <c r="B49" s="5" t="s">
        <v>71</v>
      </c>
      <c r="C49" s="5" t="s">
        <v>81</v>
      </c>
      <c r="D49" s="5" t="s">
        <v>82</v>
      </c>
      <c r="E49" s="11" t="s">
        <v>29</v>
      </c>
      <c r="F49" s="5" t="s">
        <v>82</v>
      </c>
      <c r="G49" s="11" t="s">
        <v>29</v>
      </c>
    </row>
    <row r="50" spans="1:7" x14ac:dyDescent="0.2">
      <c r="A50" s="5" t="s">
        <v>107</v>
      </c>
      <c r="B50" s="5" t="s">
        <v>57</v>
      </c>
      <c r="C50" s="5" t="s">
        <v>83</v>
      </c>
      <c r="D50" s="5" t="s">
        <v>83</v>
      </c>
      <c r="E50" s="11" t="s">
        <v>29</v>
      </c>
      <c r="F50" s="5" t="s">
        <v>83</v>
      </c>
      <c r="G50" s="11" t="s">
        <v>29</v>
      </c>
    </row>
    <row r="51" spans="1:7" x14ac:dyDescent="0.2">
      <c r="A51" s="5" t="s">
        <v>107</v>
      </c>
      <c r="B51" s="5" t="s">
        <v>59</v>
      </c>
      <c r="C51" s="5" t="s">
        <v>85</v>
      </c>
      <c r="D51" s="5" t="s">
        <v>108</v>
      </c>
      <c r="E51" s="11" t="s">
        <v>29</v>
      </c>
      <c r="F51" s="5" t="s">
        <v>85</v>
      </c>
      <c r="G51" s="11" t="s">
        <v>29</v>
      </c>
    </row>
    <row r="52" spans="1:7" x14ac:dyDescent="0.2">
      <c r="A52" s="5" t="s">
        <v>107</v>
      </c>
      <c r="B52" s="5" t="s">
        <v>78</v>
      </c>
      <c r="C52" s="5" t="s">
        <v>86</v>
      </c>
      <c r="D52" s="5" t="s">
        <v>86</v>
      </c>
      <c r="E52" s="11" t="s">
        <v>29</v>
      </c>
      <c r="F52" s="5" t="s">
        <v>86</v>
      </c>
      <c r="G52" s="11" t="s">
        <v>29</v>
      </c>
    </row>
    <row r="53" spans="1:7" x14ac:dyDescent="0.2">
      <c r="A53" s="5" t="s">
        <v>109</v>
      </c>
      <c r="B53" s="5" t="s">
        <v>71</v>
      </c>
      <c r="C53" s="5" t="s">
        <v>89</v>
      </c>
      <c r="D53" s="5" t="s">
        <v>90</v>
      </c>
      <c r="E53" s="11" t="s">
        <v>29</v>
      </c>
      <c r="F53" s="5" t="s">
        <v>90</v>
      </c>
      <c r="G53" s="11" t="s">
        <v>29</v>
      </c>
    </row>
    <row r="54" spans="1:7" x14ac:dyDescent="0.2">
      <c r="A54" s="5" t="s">
        <v>109</v>
      </c>
      <c r="B54" s="5" t="s">
        <v>57</v>
      </c>
      <c r="C54" s="5" t="s">
        <v>91</v>
      </c>
      <c r="D54" s="5" t="s">
        <v>110</v>
      </c>
      <c r="E54" s="12" t="s">
        <v>36</v>
      </c>
      <c r="F54" s="5" t="s">
        <v>91</v>
      </c>
      <c r="G54" s="11" t="s">
        <v>29</v>
      </c>
    </row>
    <row r="55" spans="1:7" x14ac:dyDescent="0.2">
      <c r="A55" s="5" t="s">
        <v>109</v>
      </c>
      <c r="B55" s="5" t="s">
        <v>59</v>
      </c>
      <c r="C55" s="5" t="s">
        <v>92</v>
      </c>
      <c r="D55" s="5" t="s">
        <v>111</v>
      </c>
      <c r="E55" s="11" t="s">
        <v>29</v>
      </c>
      <c r="F55" s="5" t="s">
        <v>92</v>
      </c>
      <c r="G55" s="11" t="s">
        <v>29</v>
      </c>
    </row>
    <row r="56" spans="1:7" x14ac:dyDescent="0.2">
      <c r="A56" s="5" t="s">
        <v>109</v>
      </c>
      <c r="B56" s="5" t="s">
        <v>78</v>
      </c>
      <c r="C56" s="5" t="s">
        <v>95</v>
      </c>
      <c r="D56" s="5"/>
      <c r="E56" s="12" t="s">
        <v>65</v>
      </c>
      <c r="F56" s="5" t="s">
        <v>95</v>
      </c>
      <c r="G56" s="11" t="s">
        <v>29</v>
      </c>
    </row>
    <row r="57" spans="1:7" x14ac:dyDescent="0.2">
      <c r="A57" s="5" t="s">
        <v>112</v>
      </c>
      <c r="B57" s="5" t="s">
        <v>113</v>
      </c>
      <c r="C57" s="5" t="s">
        <v>114</v>
      </c>
      <c r="D57" s="5"/>
      <c r="E57" s="12" t="s">
        <v>65</v>
      </c>
      <c r="F57" s="5" t="s">
        <v>115</v>
      </c>
      <c r="G57" s="11" t="s">
        <v>29</v>
      </c>
    </row>
    <row r="58" spans="1:7" x14ac:dyDescent="0.2">
      <c r="A58" s="5" t="s">
        <v>112</v>
      </c>
      <c r="B58" s="5" t="s">
        <v>116</v>
      </c>
      <c r="C58" s="5" t="s">
        <v>117</v>
      </c>
      <c r="D58" s="5"/>
      <c r="E58" s="12" t="s">
        <v>65</v>
      </c>
      <c r="F58" s="5" t="s">
        <v>117</v>
      </c>
      <c r="G58" s="11" t="s">
        <v>29</v>
      </c>
    </row>
    <row r="59" spans="1:7" x14ac:dyDescent="0.2">
      <c r="A59" s="5" t="s">
        <v>112</v>
      </c>
      <c r="B59" s="5" t="s">
        <v>118</v>
      </c>
      <c r="C59" s="5" t="s">
        <v>119</v>
      </c>
      <c r="D59" s="5"/>
      <c r="E59" s="12" t="s">
        <v>65</v>
      </c>
      <c r="F59" s="5" t="s">
        <v>119</v>
      </c>
      <c r="G59" s="11" t="s">
        <v>29</v>
      </c>
    </row>
    <row r="60" spans="1:7" x14ac:dyDescent="0.2">
      <c r="A60" s="5" t="s">
        <v>112</v>
      </c>
      <c r="B60" s="5" t="s">
        <v>120</v>
      </c>
      <c r="C60" s="5" t="s">
        <v>121</v>
      </c>
      <c r="D60" s="5"/>
      <c r="E60" s="12" t="s">
        <v>65</v>
      </c>
      <c r="F60" s="5" t="s">
        <v>121</v>
      </c>
      <c r="G60" s="11" t="s">
        <v>29</v>
      </c>
    </row>
    <row r="61" spans="1:7" x14ac:dyDescent="0.2">
      <c r="A61" s="5" t="s">
        <v>122</v>
      </c>
      <c r="B61" s="5" t="s">
        <v>113</v>
      </c>
      <c r="C61" s="5" t="s">
        <v>123</v>
      </c>
      <c r="D61" s="5"/>
      <c r="E61" s="12" t="s">
        <v>65</v>
      </c>
      <c r="F61" s="5"/>
      <c r="G61" s="12" t="s">
        <v>65</v>
      </c>
    </row>
    <row r="62" spans="1:7" x14ac:dyDescent="0.2">
      <c r="A62" s="5" t="s">
        <v>122</v>
      </c>
      <c r="B62" s="5" t="s">
        <v>116</v>
      </c>
      <c r="C62" s="5" t="s">
        <v>124</v>
      </c>
      <c r="D62" s="5"/>
      <c r="E62" s="12" t="s">
        <v>65</v>
      </c>
      <c r="F62" s="5" t="s">
        <v>124</v>
      </c>
      <c r="G62" s="11" t="s">
        <v>29</v>
      </c>
    </row>
    <row r="63" spans="1:7" x14ac:dyDescent="0.2">
      <c r="A63" s="5" t="s">
        <v>122</v>
      </c>
      <c r="B63" s="5" t="s">
        <v>118</v>
      </c>
      <c r="C63" s="5" t="s">
        <v>125</v>
      </c>
      <c r="D63" s="5"/>
      <c r="E63" s="12" t="s">
        <v>65</v>
      </c>
      <c r="F63" s="5" t="s">
        <v>125</v>
      </c>
      <c r="G63" s="11" t="s">
        <v>29</v>
      </c>
    </row>
    <row r="64" spans="1:7" x14ac:dyDescent="0.2">
      <c r="A64" s="5" t="s">
        <v>122</v>
      </c>
      <c r="B64" s="5" t="s">
        <v>120</v>
      </c>
      <c r="C64" s="5" t="s">
        <v>126</v>
      </c>
      <c r="D64" s="5"/>
      <c r="E64" s="12" t="s">
        <v>65</v>
      </c>
      <c r="F64" s="5" t="s">
        <v>126</v>
      </c>
      <c r="G64" s="11" t="s">
        <v>29</v>
      </c>
    </row>
    <row r="65" spans="1:7" x14ac:dyDescent="0.2">
      <c r="A65" s="5" t="s">
        <v>127</v>
      </c>
      <c r="B65" s="5" t="s">
        <v>113</v>
      </c>
      <c r="C65" s="5" t="s">
        <v>114</v>
      </c>
      <c r="D65" s="5"/>
      <c r="E65" s="12" t="s">
        <v>65</v>
      </c>
      <c r="F65" s="5" t="s">
        <v>115</v>
      </c>
      <c r="G65" s="11" t="s">
        <v>29</v>
      </c>
    </row>
    <row r="66" spans="1:7" x14ac:dyDescent="0.2">
      <c r="A66" s="5" t="s">
        <v>127</v>
      </c>
      <c r="B66" s="5" t="s">
        <v>116</v>
      </c>
      <c r="C66" s="5" t="s">
        <v>117</v>
      </c>
      <c r="D66" s="5"/>
      <c r="E66" s="12" t="s">
        <v>65</v>
      </c>
      <c r="F66" s="5" t="s">
        <v>117</v>
      </c>
      <c r="G66" s="11" t="s">
        <v>29</v>
      </c>
    </row>
    <row r="67" spans="1:7" x14ac:dyDescent="0.2">
      <c r="A67" s="5" t="s">
        <v>127</v>
      </c>
      <c r="B67" s="5" t="s">
        <v>118</v>
      </c>
      <c r="C67" s="5" t="s">
        <v>119</v>
      </c>
      <c r="D67" s="5"/>
      <c r="E67" s="12" t="s">
        <v>65</v>
      </c>
      <c r="F67" s="5" t="s">
        <v>119</v>
      </c>
      <c r="G67" s="11" t="s">
        <v>29</v>
      </c>
    </row>
    <row r="68" spans="1:7" x14ac:dyDescent="0.2">
      <c r="A68" s="5" t="s">
        <v>127</v>
      </c>
      <c r="B68" s="5" t="s">
        <v>120</v>
      </c>
      <c r="C68" s="5" t="s">
        <v>121</v>
      </c>
      <c r="D68" s="5"/>
      <c r="E68" s="12" t="s">
        <v>65</v>
      </c>
      <c r="F68" s="5" t="s">
        <v>121</v>
      </c>
      <c r="G68" s="11" t="s">
        <v>29</v>
      </c>
    </row>
    <row r="69" spans="1:7" x14ac:dyDescent="0.2">
      <c r="A69" s="5" t="s">
        <v>128</v>
      </c>
      <c r="B69" s="5" t="s">
        <v>113</v>
      </c>
      <c r="C69" s="5" t="s">
        <v>123</v>
      </c>
      <c r="D69" s="5"/>
      <c r="E69" s="12" t="s">
        <v>65</v>
      </c>
      <c r="F69" s="5"/>
      <c r="G69" s="12" t="s">
        <v>65</v>
      </c>
    </row>
    <row r="70" spans="1:7" x14ac:dyDescent="0.2">
      <c r="A70" s="5" t="s">
        <v>128</v>
      </c>
      <c r="B70" s="5" t="s">
        <v>116</v>
      </c>
      <c r="C70" s="5" t="s">
        <v>124</v>
      </c>
      <c r="D70" s="5"/>
      <c r="E70" s="12" t="s">
        <v>65</v>
      </c>
      <c r="F70" s="5" t="s">
        <v>124</v>
      </c>
      <c r="G70" s="11" t="s">
        <v>29</v>
      </c>
    </row>
    <row r="71" spans="1:7" x14ac:dyDescent="0.2">
      <c r="A71" s="5" t="s">
        <v>128</v>
      </c>
      <c r="B71" s="5" t="s">
        <v>118</v>
      </c>
      <c r="C71" s="5" t="s">
        <v>125</v>
      </c>
      <c r="D71" s="5"/>
      <c r="E71" s="12" t="s">
        <v>65</v>
      </c>
      <c r="F71" s="5" t="s">
        <v>125</v>
      </c>
      <c r="G71" s="11" t="s">
        <v>29</v>
      </c>
    </row>
    <row r="72" spans="1:7" x14ac:dyDescent="0.2">
      <c r="A72" s="5" t="s">
        <v>128</v>
      </c>
      <c r="B72" s="5" t="s">
        <v>120</v>
      </c>
      <c r="C72" s="5" t="s">
        <v>126</v>
      </c>
      <c r="D72" s="5"/>
      <c r="E72" s="12" t="s">
        <v>65</v>
      </c>
      <c r="F72" s="5" t="s">
        <v>126</v>
      </c>
      <c r="G72" s="11" t="s">
        <v>29</v>
      </c>
    </row>
    <row r="73" spans="1:7" x14ac:dyDescent="0.2">
      <c r="A73" s="5" t="s">
        <v>129</v>
      </c>
      <c r="B73" s="5" t="s">
        <v>130</v>
      </c>
      <c r="C73" s="5" t="s">
        <v>131</v>
      </c>
      <c r="D73" s="5" t="s">
        <v>132</v>
      </c>
      <c r="E73" s="11" t="s">
        <v>29</v>
      </c>
      <c r="F73" s="5" t="s">
        <v>132</v>
      </c>
      <c r="G73" s="11" t="s">
        <v>29</v>
      </c>
    </row>
    <row r="74" spans="1:7" x14ac:dyDescent="0.2">
      <c r="A74" s="5" t="s">
        <v>129</v>
      </c>
      <c r="B74" s="5" t="s">
        <v>133</v>
      </c>
      <c r="C74" s="5" t="s">
        <v>134</v>
      </c>
      <c r="D74" s="5" t="s">
        <v>135</v>
      </c>
      <c r="E74" s="11" t="s">
        <v>29</v>
      </c>
      <c r="F74" s="5" t="s">
        <v>135</v>
      </c>
      <c r="G74" s="11" t="s">
        <v>29</v>
      </c>
    </row>
    <row r="75" spans="1:7" x14ac:dyDescent="0.2">
      <c r="A75" s="5" t="s">
        <v>129</v>
      </c>
      <c r="B75" s="5" t="s">
        <v>136</v>
      </c>
      <c r="C75" s="5" t="s">
        <v>137</v>
      </c>
      <c r="D75" s="5" t="s">
        <v>138</v>
      </c>
      <c r="E75" s="11" t="s">
        <v>29</v>
      </c>
      <c r="F75" s="5" t="s">
        <v>137</v>
      </c>
      <c r="G75" s="11" t="s">
        <v>29</v>
      </c>
    </row>
    <row r="76" spans="1:7" x14ac:dyDescent="0.2">
      <c r="A76" s="5" t="s">
        <v>129</v>
      </c>
      <c r="B76" s="5" t="s">
        <v>139</v>
      </c>
      <c r="C76" s="5" t="s">
        <v>140</v>
      </c>
      <c r="D76" s="5" t="s">
        <v>141</v>
      </c>
      <c r="E76" s="12" t="s">
        <v>36</v>
      </c>
      <c r="F76" s="5" t="s">
        <v>140</v>
      </c>
      <c r="G76" s="11" t="s">
        <v>29</v>
      </c>
    </row>
    <row r="77" spans="1:7" x14ac:dyDescent="0.2">
      <c r="A77" s="5" t="s">
        <v>129</v>
      </c>
      <c r="B77" s="5" t="s">
        <v>142</v>
      </c>
      <c r="C77" s="5" t="s">
        <v>143</v>
      </c>
      <c r="D77" s="5" t="s">
        <v>143</v>
      </c>
      <c r="E77" s="11" t="s">
        <v>29</v>
      </c>
      <c r="F77" s="5" t="s">
        <v>143</v>
      </c>
      <c r="G77" s="11" t="s">
        <v>29</v>
      </c>
    </row>
    <row r="78" spans="1:7" x14ac:dyDescent="0.2">
      <c r="A78" s="5" t="s">
        <v>144</v>
      </c>
      <c r="B78" s="5" t="s">
        <v>130</v>
      </c>
      <c r="C78" s="5" t="s">
        <v>145</v>
      </c>
      <c r="D78" s="5" t="s">
        <v>146</v>
      </c>
      <c r="E78" s="11" t="s">
        <v>29</v>
      </c>
      <c r="F78" s="5" t="s">
        <v>146</v>
      </c>
      <c r="G78" s="11" t="s">
        <v>29</v>
      </c>
    </row>
    <row r="79" spans="1:7" x14ac:dyDescent="0.2">
      <c r="A79" s="5" t="s">
        <v>144</v>
      </c>
      <c r="B79" s="5" t="s">
        <v>133</v>
      </c>
      <c r="C79" s="5" t="s">
        <v>147</v>
      </c>
      <c r="D79" s="5" t="s">
        <v>148</v>
      </c>
      <c r="E79" s="11" t="s">
        <v>29</v>
      </c>
      <c r="F79" s="5" t="s">
        <v>148</v>
      </c>
      <c r="G79" s="11" t="s">
        <v>29</v>
      </c>
    </row>
    <row r="80" spans="1:7" x14ac:dyDescent="0.2">
      <c r="A80" s="5" t="s">
        <v>144</v>
      </c>
      <c r="B80" s="5" t="s">
        <v>136</v>
      </c>
      <c r="C80" s="5" t="s">
        <v>149</v>
      </c>
      <c r="D80" s="5" t="s">
        <v>149</v>
      </c>
      <c r="E80" s="11" t="s">
        <v>29</v>
      </c>
      <c r="F80" s="5" t="s">
        <v>149</v>
      </c>
      <c r="G80" s="11" t="s">
        <v>29</v>
      </c>
    </row>
    <row r="81" spans="1:7" x14ac:dyDescent="0.2">
      <c r="A81" s="5" t="s">
        <v>144</v>
      </c>
      <c r="B81" s="5" t="s">
        <v>139</v>
      </c>
      <c r="C81" s="5" t="s">
        <v>150</v>
      </c>
      <c r="D81" s="5" t="s">
        <v>150</v>
      </c>
      <c r="E81" s="11" t="s">
        <v>29</v>
      </c>
      <c r="F81" s="5" t="s">
        <v>150</v>
      </c>
      <c r="G81" s="11" t="s">
        <v>29</v>
      </c>
    </row>
    <row r="82" spans="1:7" x14ac:dyDescent="0.2">
      <c r="A82" s="5" t="s">
        <v>144</v>
      </c>
      <c r="B82" s="5" t="s">
        <v>142</v>
      </c>
      <c r="C82" s="5" t="s">
        <v>151</v>
      </c>
      <c r="D82" s="5" t="s">
        <v>151</v>
      </c>
      <c r="E82" s="11" t="s">
        <v>29</v>
      </c>
      <c r="F82" s="5" t="s">
        <v>151</v>
      </c>
      <c r="G82" s="11" t="s">
        <v>29</v>
      </c>
    </row>
    <row r="83" spans="1:7" x14ac:dyDescent="0.2">
      <c r="A83" s="5" t="s">
        <v>152</v>
      </c>
      <c r="B83" s="5" t="s">
        <v>130</v>
      </c>
      <c r="C83" s="5" t="s">
        <v>153</v>
      </c>
      <c r="D83" s="5" t="s">
        <v>154</v>
      </c>
      <c r="E83" s="11" t="s">
        <v>29</v>
      </c>
      <c r="F83" s="5" t="s">
        <v>154</v>
      </c>
      <c r="G83" s="11" t="s">
        <v>29</v>
      </c>
    </row>
    <row r="84" spans="1:7" x14ac:dyDescent="0.2">
      <c r="A84" s="5" t="s">
        <v>152</v>
      </c>
      <c r="B84" s="5" t="s">
        <v>133</v>
      </c>
      <c r="C84" s="5" t="s">
        <v>155</v>
      </c>
      <c r="D84" s="5" t="s">
        <v>156</v>
      </c>
      <c r="E84" s="11" t="s">
        <v>29</v>
      </c>
      <c r="F84" s="5" t="s">
        <v>156</v>
      </c>
      <c r="G84" s="11" t="s">
        <v>29</v>
      </c>
    </row>
    <row r="85" spans="1:7" x14ac:dyDescent="0.2">
      <c r="A85" s="5" t="s">
        <v>152</v>
      </c>
      <c r="B85" s="5" t="s">
        <v>136</v>
      </c>
      <c r="C85" s="5" t="s">
        <v>157</v>
      </c>
      <c r="D85" s="5" t="s">
        <v>158</v>
      </c>
      <c r="E85" s="11" t="s">
        <v>29</v>
      </c>
      <c r="F85" s="5" t="s">
        <v>157</v>
      </c>
      <c r="G85" s="11" t="s">
        <v>29</v>
      </c>
    </row>
    <row r="86" spans="1:7" x14ac:dyDescent="0.2">
      <c r="A86" s="5" t="s">
        <v>152</v>
      </c>
      <c r="B86" s="5" t="s">
        <v>139</v>
      </c>
      <c r="C86" s="5" t="s">
        <v>159</v>
      </c>
      <c r="D86" s="5" t="s">
        <v>159</v>
      </c>
      <c r="E86" s="11" t="s">
        <v>29</v>
      </c>
      <c r="F86" s="5" t="s">
        <v>159</v>
      </c>
      <c r="G86" s="11" t="s">
        <v>29</v>
      </c>
    </row>
    <row r="87" spans="1:7" x14ac:dyDescent="0.2">
      <c r="A87" s="5" t="s">
        <v>152</v>
      </c>
      <c r="B87" s="5" t="s">
        <v>142</v>
      </c>
      <c r="C87" s="5" t="s">
        <v>160</v>
      </c>
      <c r="D87" s="5" t="s">
        <v>160</v>
      </c>
      <c r="E87" s="11" t="s">
        <v>29</v>
      </c>
      <c r="F87" s="5" t="s">
        <v>160</v>
      </c>
      <c r="G87" s="11" t="s">
        <v>29</v>
      </c>
    </row>
    <row r="88" spans="1:7" x14ac:dyDescent="0.2">
      <c r="A88" s="5" t="s">
        <v>161</v>
      </c>
      <c r="B88" s="5" t="s">
        <v>130</v>
      </c>
      <c r="C88" s="5" t="s">
        <v>162</v>
      </c>
      <c r="D88" s="5" t="s">
        <v>163</v>
      </c>
      <c r="E88" s="11" t="s">
        <v>29</v>
      </c>
      <c r="F88" s="5" t="s">
        <v>163</v>
      </c>
      <c r="G88" s="11" t="s">
        <v>29</v>
      </c>
    </row>
    <row r="89" spans="1:7" x14ac:dyDescent="0.2">
      <c r="A89" s="5" t="s">
        <v>161</v>
      </c>
      <c r="B89" s="5" t="s">
        <v>133</v>
      </c>
      <c r="C89" s="5" t="s">
        <v>164</v>
      </c>
      <c r="D89" s="5" t="s">
        <v>165</v>
      </c>
      <c r="E89" s="11" t="s">
        <v>29</v>
      </c>
      <c r="F89" s="5" t="s">
        <v>165</v>
      </c>
      <c r="G89" s="11" t="s">
        <v>29</v>
      </c>
    </row>
    <row r="90" spans="1:7" x14ac:dyDescent="0.2">
      <c r="A90" s="5" t="s">
        <v>161</v>
      </c>
      <c r="B90" s="5" t="s">
        <v>136</v>
      </c>
      <c r="C90" s="5" t="s">
        <v>166</v>
      </c>
      <c r="D90" s="5" t="s">
        <v>167</v>
      </c>
      <c r="E90" s="12" t="s">
        <v>36</v>
      </c>
      <c r="F90" s="5" t="s">
        <v>166</v>
      </c>
      <c r="G90" s="11" t="s">
        <v>29</v>
      </c>
    </row>
    <row r="91" spans="1:7" x14ac:dyDescent="0.2">
      <c r="A91" s="5" t="s">
        <v>161</v>
      </c>
      <c r="B91" s="5" t="s">
        <v>139</v>
      </c>
      <c r="C91" s="5" t="s">
        <v>168</v>
      </c>
      <c r="D91" s="5" t="s">
        <v>168</v>
      </c>
      <c r="E91" s="11" t="s">
        <v>29</v>
      </c>
      <c r="F91" s="5" t="s">
        <v>168</v>
      </c>
      <c r="G91" s="11" t="s">
        <v>29</v>
      </c>
    </row>
    <row r="92" spans="1:7" x14ac:dyDescent="0.2">
      <c r="A92" s="5" t="s">
        <v>161</v>
      </c>
      <c r="B92" s="5" t="s">
        <v>142</v>
      </c>
      <c r="C92" s="5" t="s">
        <v>169</v>
      </c>
      <c r="D92" s="5" t="s">
        <v>170</v>
      </c>
      <c r="E92" s="12" t="s">
        <v>36</v>
      </c>
      <c r="F92" s="5" t="s">
        <v>170</v>
      </c>
      <c r="G92" s="12" t="s">
        <v>36</v>
      </c>
    </row>
    <row r="93" spans="1:7" x14ac:dyDescent="0.2">
      <c r="A93" s="5" t="s">
        <v>171</v>
      </c>
      <c r="B93" s="5" t="s">
        <v>130</v>
      </c>
      <c r="C93" s="5" t="s">
        <v>131</v>
      </c>
      <c r="D93" s="5" t="s">
        <v>132</v>
      </c>
      <c r="E93" s="11" t="s">
        <v>29</v>
      </c>
      <c r="F93" s="5" t="s">
        <v>132</v>
      </c>
      <c r="G93" s="11" t="s">
        <v>29</v>
      </c>
    </row>
    <row r="94" spans="1:7" x14ac:dyDescent="0.2">
      <c r="A94" s="5" t="s">
        <v>171</v>
      </c>
      <c r="B94" s="5" t="s">
        <v>133</v>
      </c>
      <c r="C94" s="5" t="s">
        <v>134</v>
      </c>
      <c r="D94" s="5" t="s">
        <v>172</v>
      </c>
      <c r="E94" s="12" t="s">
        <v>36</v>
      </c>
      <c r="F94" s="5" t="s">
        <v>135</v>
      </c>
      <c r="G94" s="11" t="s">
        <v>29</v>
      </c>
    </row>
    <row r="95" spans="1:7" x14ac:dyDescent="0.2">
      <c r="A95" s="5" t="s">
        <v>171</v>
      </c>
      <c r="B95" s="5" t="s">
        <v>136</v>
      </c>
      <c r="C95" s="5" t="s">
        <v>137</v>
      </c>
      <c r="D95" s="5" t="s">
        <v>138</v>
      </c>
      <c r="E95" s="11" t="s">
        <v>29</v>
      </c>
      <c r="F95" s="5" t="s">
        <v>137</v>
      </c>
      <c r="G95" s="11" t="s">
        <v>29</v>
      </c>
    </row>
    <row r="96" spans="1:7" x14ac:dyDescent="0.2">
      <c r="A96" s="5" t="s">
        <v>171</v>
      </c>
      <c r="B96" s="5" t="s">
        <v>139</v>
      </c>
      <c r="C96" s="5" t="s">
        <v>140</v>
      </c>
      <c r="D96" s="5" t="s">
        <v>140</v>
      </c>
      <c r="E96" s="11" t="s">
        <v>29</v>
      </c>
      <c r="F96" s="5" t="s">
        <v>140</v>
      </c>
      <c r="G96" s="11" t="s">
        <v>29</v>
      </c>
    </row>
    <row r="97" spans="1:7" x14ac:dyDescent="0.2">
      <c r="A97" s="5" t="s">
        <v>171</v>
      </c>
      <c r="B97" s="5" t="s">
        <v>142</v>
      </c>
      <c r="C97" s="5" t="s">
        <v>143</v>
      </c>
      <c r="D97" s="5" t="s">
        <v>143</v>
      </c>
      <c r="E97" s="11" t="s">
        <v>29</v>
      </c>
      <c r="F97" s="5" t="s">
        <v>143</v>
      </c>
      <c r="G97" s="11" t="s">
        <v>29</v>
      </c>
    </row>
    <row r="98" spans="1:7" x14ac:dyDescent="0.2">
      <c r="A98" s="5" t="s">
        <v>173</v>
      </c>
      <c r="B98" s="5" t="s">
        <v>130</v>
      </c>
      <c r="C98" s="5" t="s">
        <v>145</v>
      </c>
      <c r="D98" s="5" t="s">
        <v>174</v>
      </c>
      <c r="E98" s="12" t="s">
        <v>36</v>
      </c>
      <c r="F98" s="5" t="s">
        <v>146</v>
      </c>
      <c r="G98" s="11" t="s">
        <v>29</v>
      </c>
    </row>
    <row r="99" spans="1:7" x14ac:dyDescent="0.2">
      <c r="A99" s="5" t="s">
        <v>173</v>
      </c>
      <c r="B99" s="5" t="s">
        <v>133</v>
      </c>
      <c r="C99" s="5" t="s">
        <v>147</v>
      </c>
      <c r="D99" s="5" t="s">
        <v>175</v>
      </c>
      <c r="E99" s="12" t="s">
        <v>36</v>
      </c>
      <c r="F99" s="5" t="s">
        <v>148</v>
      </c>
      <c r="G99" s="11" t="s">
        <v>29</v>
      </c>
    </row>
    <row r="100" spans="1:7" x14ac:dyDescent="0.2">
      <c r="A100" s="5" t="s">
        <v>173</v>
      </c>
      <c r="B100" s="5" t="s">
        <v>136</v>
      </c>
      <c r="C100" s="5" t="s">
        <v>149</v>
      </c>
      <c r="D100" s="5" t="s">
        <v>176</v>
      </c>
      <c r="E100" s="11" t="s">
        <v>29</v>
      </c>
      <c r="F100" s="5" t="s">
        <v>149</v>
      </c>
      <c r="G100" s="11" t="s">
        <v>29</v>
      </c>
    </row>
    <row r="101" spans="1:7" x14ac:dyDescent="0.2">
      <c r="A101" s="5" t="s">
        <v>173</v>
      </c>
      <c r="B101" s="5" t="s">
        <v>139</v>
      </c>
      <c r="C101" s="5" t="s">
        <v>150</v>
      </c>
      <c r="D101" s="5" t="s">
        <v>150</v>
      </c>
      <c r="E101" s="11" t="s">
        <v>29</v>
      </c>
      <c r="F101" s="5" t="s">
        <v>150</v>
      </c>
      <c r="G101" s="11" t="s">
        <v>29</v>
      </c>
    </row>
    <row r="102" spans="1:7" x14ac:dyDescent="0.2">
      <c r="A102" s="5" t="s">
        <v>173</v>
      </c>
      <c r="B102" s="5" t="s">
        <v>142</v>
      </c>
      <c r="C102" s="5" t="s">
        <v>151</v>
      </c>
      <c r="D102" s="5" t="s">
        <v>151</v>
      </c>
      <c r="E102" s="11" t="s">
        <v>29</v>
      </c>
      <c r="F102" s="5" t="s">
        <v>151</v>
      </c>
      <c r="G102" s="11" t="s">
        <v>29</v>
      </c>
    </row>
    <row r="103" spans="1:7" x14ac:dyDescent="0.2">
      <c r="A103" s="5" t="s">
        <v>177</v>
      </c>
      <c r="B103" s="5" t="s">
        <v>130</v>
      </c>
      <c r="C103" s="5" t="s">
        <v>153</v>
      </c>
      <c r="D103" s="5" t="s">
        <v>154</v>
      </c>
      <c r="E103" s="11" t="s">
        <v>29</v>
      </c>
      <c r="F103" s="5" t="s">
        <v>154</v>
      </c>
      <c r="G103" s="11" t="s">
        <v>29</v>
      </c>
    </row>
    <row r="104" spans="1:7" x14ac:dyDescent="0.2">
      <c r="A104" s="5" t="s">
        <v>177</v>
      </c>
      <c r="B104" s="5" t="s">
        <v>133</v>
      </c>
      <c r="C104" s="5" t="s">
        <v>155</v>
      </c>
      <c r="D104" s="5" t="s">
        <v>156</v>
      </c>
      <c r="E104" s="11" t="s">
        <v>29</v>
      </c>
      <c r="F104" s="5" t="s">
        <v>156</v>
      </c>
      <c r="G104" s="11" t="s">
        <v>29</v>
      </c>
    </row>
    <row r="105" spans="1:7" x14ac:dyDescent="0.2">
      <c r="A105" s="5" t="s">
        <v>177</v>
      </c>
      <c r="B105" s="5" t="s">
        <v>136</v>
      </c>
      <c r="C105" s="5" t="s">
        <v>157</v>
      </c>
      <c r="D105" s="5" t="s">
        <v>157</v>
      </c>
      <c r="E105" s="11" t="s">
        <v>29</v>
      </c>
      <c r="F105" s="5" t="s">
        <v>157</v>
      </c>
      <c r="G105" s="11" t="s">
        <v>29</v>
      </c>
    </row>
    <row r="106" spans="1:7" x14ac:dyDescent="0.2">
      <c r="A106" s="5" t="s">
        <v>177</v>
      </c>
      <c r="B106" s="5" t="s">
        <v>139</v>
      </c>
      <c r="C106" s="5" t="s">
        <v>159</v>
      </c>
      <c r="D106" s="5" t="s">
        <v>159</v>
      </c>
      <c r="E106" s="11" t="s">
        <v>29</v>
      </c>
      <c r="F106" s="5" t="s">
        <v>159</v>
      </c>
      <c r="G106" s="11" t="s">
        <v>29</v>
      </c>
    </row>
    <row r="107" spans="1:7" x14ac:dyDescent="0.2">
      <c r="A107" s="5" t="s">
        <v>177</v>
      </c>
      <c r="B107" s="5" t="s">
        <v>142</v>
      </c>
      <c r="C107" s="5" t="s">
        <v>160</v>
      </c>
      <c r="D107" s="5" t="s">
        <v>160</v>
      </c>
      <c r="E107" s="11" t="s">
        <v>29</v>
      </c>
      <c r="F107" s="5" t="s">
        <v>178</v>
      </c>
      <c r="G107" s="12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20" customWidth="1"/>
    <col min="4" max="4" width="13" customWidth="1"/>
    <col min="5" max="5" width="17" customWidth="1"/>
    <col min="6" max="7" width="15" customWidth="1"/>
    <col min="8" max="8" width="20" customWidth="1"/>
    <col min="9" max="9" width="13" customWidth="1"/>
    <col min="10" max="10" width="17" customWidth="1"/>
    <col min="11" max="11" width="15" customWidth="1"/>
    <col min="12" max="12" width="16" customWidth="1"/>
  </cols>
  <sheetData>
    <row r="1" spans="1:12" x14ac:dyDescent="0.2">
      <c r="A1" s="10" t="s">
        <v>19</v>
      </c>
      <c r="B1" s="10" t="s">
        <v>179</v>
      </c>
      <c r="C1" s="10" t="s">
        <v>180</v>
      </c>
      <c r="D1" s="10" t="s">
        <v>181</v>
      </c>
      <c r="E1" s="10" t="s">
        <v>182</v>
      </c>
      <c r="F1" s="10" t="s">
        <v>183</v>
      </c>
      <c r="G1" s="10" t="s">
        <v>184</v>
      </c>
      <c r="H1" s="10" t="s">
        <v>185</v>
      </c>
      <c r="I1" s="10" t="s">
        <v>186</v>
      </c>
      <c r="J1" s="10" t="s">
        <v>187</v>
      </c>
      <c r="K1" s="10" t="s">
        <v>188</v>
      </c>
      <c r="L1" s="10" t="s">
        <v>189</v>
      </c>
    </row>
    <row r="2" spans="1:12" x14ac:dyDescent="0.2">
      <c r="A2" s="5" t="s">
        <v>26</v>
      </c>
      <c r="B2" s="5" t="s">
        <v>190</v>
      </c>
      <c r="C2" s="5" t="s">
        <v>190</v>
      </c>
      <c r="D2" s="5">
        <v>1</v>
      </c>
      <c r="E2" s="5">
        <v>2</v>
      </c>
      <c r="F2" s="5">
        <v>3</v>
      </c>
      <c r="G2" s="5">
        <v>19.2</v>
      </c>
      <c r="H2" s="5" t="s">
        <v>190</v>
      </c>
      <c r="I2" s="5">
        <v>1</v>
      </c>
      <c r="J2" s="5">
        <v>2</v>
      </c>
      <c r="K2" s="5">
        <v>3</v>
      </c>
      <c r="L2" s="5">
        <v>7.1</v>
      </c>
    </row>
    <row r="3" spans="1:12" x14ac:dyDescent="0.2">
      <c r="A3" s="5" t="s">
        <v>38</v>
      </c>
      <c r="B3" s="5" t="s">
        <v>190</v>
      </c>
      <c r="C3" s="5" t="s">
        <v>190</v>
      </c>
      <c r="D3" s="5">
        <v>1</v>
      </c>
      <c r="E3" s="5">
        <v>2</v>
      </c>
      <c r="F3" s="5">
        <v>3</v>
      </c>
      <c r="G3" s="5">
        <v>17.7</v>
      </c>
      <c r="H3" s="5" t="s">
        <v>190</v>
      </c>
      <c r="I3" s="5">
        <v>1</v>
      </c>
      <c r="J3" s="5">
        <v>2</v>
      </c>
      <c r="K3" s="5">
        <v>3</v>
      </c>
      <c r="L3" s="5">
        <v>6.6</v>
      </c>
    </row>
    <row r="4" spans="1:12" x14ac:dyDescent="0.2">
      <c r="A4" s="5" t="s">
        <v>42</v>
      </c>
      <c r="B4" s="5" t="s">
        <v>190</v>
      </c>
      <c r="C4" s="5" t="s">
        <v>190</v>
      </c>
      <c r="D4" s="5">
        <v>1</v>
      </c>
      <c r="E4" s="5">
        <v>2</v>
      </c>
      <c r="F4" s="5">
        <v>3</v>
      </c>
      <c r="G4" s="5">
        <v>15.7</v>
      </c>
      <c r="H4" s="5" t="s">
        <v>190</v>
      </c>
      <c r="I4" s="5">
        <v>1</v>
      </c>
      <c r="J4" s="5">
        <v>3</v>
      </c>
      <c r="K4" s="5">
        <v>3</v>
      </c>
      <c r="L4" s="5">
        <v>6.7</v>
      </c>
    </row>
    <row r="5" spans="1:12" x14ac:dyDescent="0.2">
      <c r="A5" s="5" t="s">
        <v>49</v>
      </c>
      <c r="B5" s="5" t="s">
        <v>190</v>
      </c>
      <c r="C5" s="5" t="s">
        <v>190</v>
      </c>
      <c r="D5" s="5">
        <v>1</v>
      </c>
      <c r="E5" s="5">
        <v>2</v>
      </c>
      <c r="F5" s="5">
        <v>3</v>
      </c>
      <c r="G5" s="5">
        <v>18.399999999999999</v>
      </c>
      <c r="H5" s="5" t="s">
        <v>190</v>
      </c>
      <c r="I5" s="5">
        <v>1</v>
      </c>
      <c r="J5" s="5">
        <v>3</v>
      </c>
      <c r="K5" s="5">
        <v>3</v>
      </c>
      <c r="L5" s="5">
        <v>6.9</v>
      </c>
    </row>
    <row r="6" spans="1:12" x14ac:dyDescent="0.2">
      <c r="A6" s="5" t="s">
        <v>51</v>
      </c>
      <c r="B6" s="5" t="s">
        <v>190</v>
      </c>
      <c r="C6" s="5" t="s">
        <v>190</v>
      </c>
      <c r="D6" s="5">
        <v>1</v>
      </c>
      <c r="E6" s="5">
        <v>1</v>
      </c>
      <c r="F6" s="5">
        <v>3</v>
      </c>
      <c r="G6" s="5">
        <v>16.5</v>
      </c>
      <c r="H6" s="5" t="s">
        <v>190</v>
      </c>
      <c r="I6" s="5">
        <v>1</v>
      </c>
      <c r="J6" s="5">
        <v>2</v>
      </c>
      <c r="K6" s="5">
        <v>3</v>
      </c>
      <c r="L6" s="5">
        <v>7.3</v>
      </c>
    </row>
    <row r="7" spans="1:12" x14ac:dyDescent="0.2">
      <c r="A7" s="5" t="s">
        <v>53</v>
      </c>
      <c r="B7" s="5" t="s">
        <v>191</v>
      </c>
      <c r="C7" s="5" t="s">
        <v>191</v>
      </c>
      <c r="D7" s="5">
        <v>1</v>
      </c>
      <c r="E7" s="5">
        <v>3</v>
      </c>
      <c r="F7" s="5">
        <v>3</v>
      </c>
      <c r="G7" s="5">
        <v>16.3</v>
      </c>
      <c r="H7" s="5" t="s">
        <v>191</v>
      </c>
      <c r="I7" s="5">
        <v>1</v>
      </c>
      <c r="J7" s="5">
        <v>3</v>
      </c>
      <c r="K7" s="5">
        <v>3</v>
      </c>
      <c r="L7" s="5">
        <v>6.5</v>
      </c>
    </row>
    <row r="8" spans="1:12" x14ac:dyDescent="0.2">
      <c r="A8" s="5" t="s">
        <v>61</v>
      </c>
      <c r="B8" s="5" t="s">
        <v>191</v>
      </c>
      <c r="C8" s="5" t="s">
        <v>191</v>
      </c>
      <c r="D8" s="5">
        <v>1</v>
      </c>
      <c r="E8" s="5">
        <v>2</v>
      </c>
      <c r="F8" s="5">
        <v>3</v>
      </c>
      <c r="G8" s="5">
        <v>18.3</v>
      </c>
      <c r="H8" s="5" t="s">
        <v>191</v>
      </c>
      <c r="I8" s="5">
        <v>1</v>
      </c>
      <c r="J8" s="5">
        <v>3</v>
      </c>
      <c r="K8" s="5">
        <v>3</v>
      </c>
      <c r="L8" s="5">
        <v>6.4</v>
      </c>
    </row>
    <row r="9" spans="1:12" x14ac:dyDescent="0.2">
      <c r="A9" s="5" t="s">
        <v>67</v>
      </c>
      <c r="B9" s="5" t="s">
        <v>191</v>
      </c>
      <c r="C9" s="5" t="s">
        <v>191</v>
      </c>
      <c r="D9" s="5">
        <v>1</v>
      </c>
      <c r="E9" s="5">
        <v>2</v>
      </c>
      <c r="F9" s="5">
        <v>3</v>
      </c>
      <c r="G9" s="5">
        <v>15.8</v>
      </c>
      <c r="H9" s="5" t="s">
        <v>191</v>
      </c>
      <c r="I9" s="5">
        <v>1</v>
      </c>
      <c r="J9" s="5">
        <v>3</v>
      </c>
      <c r="K9" s="5">
        <v>3</v>
      </c>
      <c r="L9" s="5">
        <v>7.1</v>
      </c>
    </row>
    <row r="10" spans="1:12" x14ac:dyDescent="0.2">
      <c r="A10" s="5" t="s">
        <v>68</v>
      </c>
      <c r="B10" s="5" t="s">
        <v>191</v>
      </c>
      <c r="C10" s="5" t="s">
        <v>191</v>
      </c>
      <c r="D10" s="5">
        <v>1</v>
      </c>
      <c r="E10" s="5">
        <v>3</v>
      </c>
      <c r="F10" s="5">
        <v>3</v>
      </c>
      <c r="G10" s="5">
        <v>15.5</v>
      </c>
      <c r="H10" s="5" t="s">
        <v>191</v>
      </c>
      <c r="I10" s="5">
        <v>1</v>
      </c>
      <c r="J10" s="5">
        <v>3</v>
      </c>
      <c r="K10" s="5">
        <v>3</v>
      </c>
      <c r="L10" s="5">
        <v>6.9</v>
      </c>
    </row>
    <row r="11" spans="1:12" x14ac:dyDescent="0.2">
      <c r="A11" s="5" t="s">
        <v>70</v>
      </c>
      <c r="B11" s="5" t="s">
        <v>192</v>
      </c>
      <c r="C11" s="5" t="s">
        <v>192</v>
      </c>
      <c r="D11" s="5">
        <v>1</v>
      </c>
      <c r="E11" s="5">
        <v>2</v>
      </c>
      <c r="F11" s="5">
        <v>4</v>
      </c>
      <c r="G11" s="5">
        <v>16</v>
      </c>
      <c r="H11" s="5" t="s">
        <v>192</v>
      </c>
      <c r="I11" s="5">
        <v>1</v>
      </c>
      <c r="J11" s="5">
        <v>4</v>
      </c>
      <c r="K11" s="5">
        <v>4</v>
      </c>
      <c r="L11" s="5">
        <v>6.9</v>
      </c>
    </row>
    <row r="12" spans="1:12" x14ac:dyDescent="0.2">
      <c r="A12" s="5" t="s">
        <v>80</v>
      </c>
      <c r="B12" s="5" t="s">
        <v>192</v>
      </c>
      <c r="C12" s="5" t="s">
        <v>192</v>
      </c>
      <c r="D12" s="5">
        <v>1</v>
      </c>
      <c r="E12" s="5">
        <v>2</v>
      </c>
      <c r="F12" s="5">
        <v>4</v>
      </c>
      <c r="G12" s="5">
        <v>18.600000000000001</v>
      </c>
      <c r="H12" s="5" t="s">
        <v>192</v>
      </c>
      <c r="I12" s="5">
        <v>1</v>
      </c>
      <c r="J12" s="5">
        <v>4</v>
      </c>
      <c r="K12" s="5">
        <v>4</v>
      </c>
      <c r="L12" s="5">
        <v>6.8</v>
      </c>
    </row>
    <row r="13" spans="1:12" x14ac:dyDescent="0.2">
      <c r="A13" s="5" t="s">
        <v>88</v>
      </c>
      <c r="B13" s="5" t="s">
        <v>192</v>
      </c>
      <c r="C13" s="5" t="s">
        <v>192</v>
      </c>
      <c r="D13" s="5">
        <v>1</v>
      </c>
      <c r="E13" s="5">
        <v>2</v>
      </c>
      <c r="F13" s="5">
        <v>4</v>
      </c>
      <c r="G13" s="5">
        <v>16.7</v>
      </c>
      <c r="H13" s="5" t="s">
        <v>192</v>
      </c>
      <c r="I13" s="5">
        <v>1</v>
      </c>
      <c r="J13" s="5">
        <v>3</v>
      </c>
      <c r="K13" s="5">
        <v>4</v>
      </c>
      <c r="L13" s="5">
        <v>7</v>
      </c>
    </row>
    <row r="14" spans="1:12" x14ac:dyDescent="0.2">
      <c r="A14" s="5" t="s">
        <v>97</v>
      </c>
      <c r="B14" s="5" t="s">
        <v>192</v>
      </c>
      <c r="C14" s="5" t="s">
        <v>192</v>
      </c>
      <c r="D14" s="5">
        <v>1</v>
      </c>
      <c r="E14" s="5">
        <v>2</v>
      </c>
      <c r="F14" s="5">
        <v>4</v>
      </c>
      <c r="G14" s="5">
        <v>19.399999999999999</v>
      </c>
      <c r="H14" s="5" t="s">
        <v>192</v>
      </c>
      <c r="I14" s="5">
        <v>1</v>
      </c>
      <c r="J14" s="5">
        <v>3</v>
      </c>
      <c r="K14" s="5">
        <v>4</v>
      </c>
      <c r="L14" s="5">
        <v>6.9</v>
      </c>
    </row>
    <row r="15" spans="1:12" x14ac:dyDescent="0.2">
      <c r="A15" s="5" t="s">
        <v>105</v>
      </c>
      <c r="B15" s="5" t="s">
        <v>192</v>
      </c>
      <c r="C15" s="5" t="s">
        <v>192</v>
      </c>
      <c r="D15" s="5">
        <v>1</v>
      </c>
      <c r="E15" s="5">
        <v>4</v>
      </c>
      <c r="F15" s="5">
        <v>4</v>
      </c>
      <c r="G15" s="5">
        <v>17</v>
      </c>
      <c r="H15" s="5" t="s">
        <v>192</v>
      </c>
      <c r="I15" s="5">
        <v>1</v>
      </c>
      <c r="J15" s="5">
        <v>4</v>
      </c>
      <c r="K15" s="5">
        <v>4</v>
      </c>
      <c r="L15" s="5">
        <v>7.3</v>
      </c>
    </row>
    <row r="16" spans="1:12" x14ac:dyDescent="0.2">
      <c r="A16" s="5" t="s">
        <v>107</v>
      </c>
      <c r="B16" s="5" t="s">
        <v>192</v>
      </c>
      <c r="C16" s="5" t="s">
        <v>192</v>
      </c>
      <c r="D16" s="5">
        <v>1</v>
      </c>
      <c r="E16" s="5">
        <v>4</v>
      </c>
      <c r="F16" s="5">
        <v>4</v>
      </c>
      <c r="G16" s="5">
        <v>18.5</v>
      </c>
      <c r="H16" s="5" t="s">
        <v>192</v>
      </c>
      <c r="I16" s="5">
        <v>1</v>
      </c>
      <c r="J16" s="5">
        <v>4</v>
      </c>
      <c r="K16" s="5">
        <v>4</v>
      </c>
      <c r="L16" s="5">
        <v>7.4</v>
      </c>
    </row>
    <row r="17" spans="1:12" x14ac:dyDescent="0.2">
      <c r="A17" s="5" t="s">
        <v>109</v>
      </c>
      <c r="B17" s="5" t="s">
        <v>192</v>
      </c>
      <c r="C17" s="5" t="s">
        <v>192</v>
      </c>
      <c r="D17" s="5">
        <v>1</v>
      </c>
      <c r="E17" s="5">
        <v>2</v>
      </c>
      <c r="F17" s="5">
        <v>4</v>
      </c>
      <c r="G17" s="5">
        <v>18.899999999999999</v>
      </c>
      <c r="H17" s="5" t="s">
        <v>192</v>
      </c>
      <c r="I17" s="5">
        <v>1</v>
      </c>
      <c r="J17" s="5">
        <v>4</v>
      </c>
      <c r="K17" s="5">
        <v>4</v>
      </c>
      <c r="L17" s="5">
        <v>7.9</v>
      </c>
    </row>
    <row r="18" spans="1:12" x14ac:dyDescent="0.2">
      <c r="A18" s="5" t="s">
        <v>193</v>
      </c>
      <c r="B18" s="5" t="s">
        <v>194</v>
      </c>
      <c r="C18" s="2" t="s">
        <v>195</v>
      </c>
      <c r="D18" s="5"/>
      <c r="E18" s="5"/>
      <c r="F18" s="5"/>
      <c r="G18" s="5"/>
      <c r="H18" s="5" t="s">
        <v>194</v>
      </c>
      <c r="I18" s="5">
        <v>1</v>
      </c>
      <c r="J18" s="5">
        <v>0</v>
      </c>
      <c r="K18" s="5">
        <v>0</v>
      </c>
      <c r="L18" s="5">
        <v>3.1</v>
      </c>
    </row>
    <row r="19" spans="1:12" x14ac:dyDescent="0.2">
      <c r="A19" s="5" t="s">
        <v>196</v>
      </c>
      <c r="B19" s="5" t="s">
        <v>197</v>
      </c>
      <c r="C19" s="2" t="s">
        <v>195</v>
      </c>
      <c r="D19" s="5"/>
      <c r="E19" s="5"/>
      <c r="F19" s="5"/>
      <c r="G19" s="5"/>
      <c r="H19" s="5" t="s">
        <v>197</v>
      </c>
      <c r="I19" s="5">
        <v>1</v>
      </c>
      <c r="J19" s="5">
        <v>0</v>
      </c>
      <c r="K19" s="5">
        <v>0</v>
      </c>
      <c r="L19" s="5">
        <v>3.1</v>
      </c>
    </row>
    <row r="20" spans="1:12" x14ac:dyDescent="0.2">
      <c r="A20" s="5" t="s">
        <v>112</v>
      </c>
      <c r="B20" s="5" t="s">
        <v>198</v>
      </c>
      <c r="C20" s="5" t="s">
        <v>198</v>
      </c>
      <c r="D20" s="5">
        <v>1</v>
      </c>
      <c r="E20" s="5">
        <v>0</v>
      </c>
      <c r="F20" s="5">
        <v>4</v>
      </c>
      <c r="G20" s="5">
        <v>17</v>
      </c>
      <c r="H20" s="5" t="s">
        <v>198</v>
      </c>
      <c r="I20" s="5">
        <v>1</v>
      </c>
      <c r="J20" s="5">
        <v>4</v>
      </c>
      <c r="K20" s="5">
        <v>4</v>
      </c>
      <c r="L20" s="5">
        <v>10.1</v>
      </c>
    </row>
    <row r="21" spans="1:12" x14ac:dyDescent="0.2">
      <c r="A21" s="5" t="s">
        <v>122</v>
      </c>
      <c r="B21" s="5" t="s">
        <v>198</v>
      </c>
      <c r="C21" s="5" t="s">
        <v>198</v>
      </c>
      <c r="D21" s="5">
        <v>1</v>
      </c>
      <c r="E21" s="5">
        <v>0</v>
      </c>
      <c r="F21" s="5">
        <v>4</v>
      </c>
      <c r="G21" s="5">
        <v>17.899999999999999</v>
      </c>
      <c r="H21" s="5" t="s">
        <v>198</v>
      </c>
      <c r="I21" s="5">
        <v>1</v>
      </c>
      <c r="J21" s="5">
        <v>3</v>
      </c>
      <c r="K21" s="5">
        <v>4</v>
      </c>
      <c r="L21" s="5">
        <v>9.9</v>
      </c>
    </row>
    <row r="22" spans="1:12" x14ac:dyDescent="0.2">
      <c r="A22" s="5" t="s">
        <v>127</v>
      </c>
      <c r="B22" s="5" t="s">
        <v>198</v>
      </c>
      <c r="C22" s="5" t="s">
        <v>198</v>
      </c>
      <c r="D22" s="5">
        <v>1</v>
      </c>
      <c r="E22" s="5">
        <v>0</v>
      </c>
      <c r="F22" s="5">
        <v>4</v>
      </c>
      <c r="G22" s="5">
        <v>19</v>
      </c>
      <c r="H22" s="5" t="s">
        <v>198</v>
      </c>
      <c r="I22" s="5">
        <v>1</v>
      </c>
      <c r="J22" s="5">
        <v>4</v>
      </c>
      <c r="K22" s="5">
        <v>4</v>
      </c>
      <c r="L22" s="5">
        <v>10.8</v>
      </c>
    </row>
    <row r="23" spans="1:12" x14ac:dyDescent="0.2">
      <c r="A23" s="5" t="s">
        <v>128</v>
      </c>
      <c r="B23" s="5" t="s">
        <v>198</v>
      </c>
      <c r="C23" s="5" t="s">
        <v>198</v>
      </c>
      <c r="D23" s="5">
        <v>1</v>
      </c>
      <c r="E23" s="5">
        <v>0</v>
      </c>
      <c r="F23" s="5">
        <v>4</v>
      </c>
      <c r="G23" s="5">
        <v>17.7</v>
      </c>
      <c r="H23" s="5" t="s">
        <v>198</v>
      </c>
      <c r="I23" s="5">
        <v>1</v>
      </c>
      <c r="J23" s="5">
        <v>3</v>
      </c>
      <c r="K23" s="5">
        <v>4</v>
      </c>
      <c r="L23" s="5">
        <v>10.3</v>
      </c>
    </row>
    <row r="24" spans="1:12" x14ac:dyDescent="0.2">
      <c r="A24" s="5" t="s">
        <v>199</v>
      </c>
      <c r="B24" s="5" t="s">
        <v>200</v>
      </c>
      <c r="C24" s="5" t="s">
        <v>200</v>
      </c>
      <c r="D24" s="5">
        <v>1</v>
      </c>
      <c r="E24" s="5">
        <v>0</v>
      </c>
      <c r="F24" s="5">
        <v>0</v>
      </c>
      <c r="G24" s="5">
        <v>6.5</v>
      </c>
      <c r="H24" s="5" t="s">
        <v>200</v>
      </c>
      <c r="I24" s="5">
        <v>1</v>
      </c>
      <c r="J24" s="5">
        <v>0</v>
      </c>
      <c r="K24" s="5">
        <v>0</v>
      </c>
      <c r="L24" s="5">
        <v>3.1</v>
      </c>
    </row>
    <row r="25" spans="1:12" x14ac:dyDescent="0.2">
      <c r="A25" s="5" t="s">
        <v>201</v>
      </c>
      <c r="B25" s="5" t="s">
        <v>200</v>
      </c>
      <c r="C25" s="5" t="s">
        <v>200</v>
      </c>
      <c r="D25" s="5">
        <v>1</v>
      </c>
      <c r="E25" s="5">
        <v>0</v>
      </c>
      <c r="F25" s="5">
        <v>0</v>
      </c>
      <c r="G25" s="5">
        <v>10.5</v>
      </c>
      <c r="H25" s="5" t="s">
        <v>200</v>
      </c>
      <c r="I25" s="5">
        <v>1</v>
      </c>
      <c r="J25" s="5">
        <v>0</v>
      </c>
      <c r="K25" s="5">
        <v>0</v>
      </c>
      <c r="L25" s="5">
        <v>3.1</v>
      </c>
    </row>
    <row r="26" spans="1:12" x14ac:dyDescent="0.2">
      <c r="A26" s="5" t="s">
        <v>129</v>
      </c>
      <c r="B26" s="5" t="s">
        <v>202</v>
      </c>
      <c r="C26" s="5" t="s">
        <v>202</v>
      </c>
      <c r="D26" s="5">
        <v>1</v>
      </c>
      <c r="E26" s="5">
        <v>4</v>
      </c>
      <c r="F26" s="5">
        <v>5</v>
      </c>
      <c r="G26" s="5">
        <v>20.3</v>
      </c>
      <c r="H26" s="5" t="s">
        <v>202</v>
      </c>
      <c r="I26" s="5">
        <v>1</v>
      </c>
      <c r="J26" s="5">
        <v>5</v>
      </c>
      <c r="K26" s="5">
        <v>5</v>
      </c>
      <c r="L26" s="5">
        <v>7.1</v>
      </c>
    </row>
    <row r="27" spans="1:12" x14ac:dyDescent="0.2">
      <c r="A27" s="5" t="s">
        <v>144</v>
      </c>
      <c r="B27" s="5" t="s">
        <v>202</v>
      </c>
      <c r="C27" s="5" t="s">
        <v>202</v>
      </c>
      <c r="D27" s="5">
        <v>1</v>
      </c>
      <c r="E27" s="5">
        <v>5</v>
      </c>
      <c r="F27" s="5">
        <v>5</v>
      </c>
      <c r="G27" s="5">
        <v>19.7</v>
      </c>
      <c r="H27" s="5" t="s">
        <v>202</v>
      </c>
      <c r="I27" s="5">
        <v>1</v>
      </c>
      <c r="J27" s="5">
        <v>5</v>
      </c>
      <c r="K27" s="5">
        <v>5</v>
      </c>
      <c r="L27" s="5">
        <v>7</v>
      </c>
    </row>
    <row r="28" spans="1:12" x14ac:dyDescent="0.2">
      <c r="A28" s="5" t="s">
        <v>152</v>
      </c>
      <c r="B28" s="5" t="s">
        <v>202</v>
      </c>
      <c r="C28" s="5" t="s">
        <v>202</v>
      </c>
      <c r="D28" s="5">
        <v>1</v>
      </c>
      <c r="E28" s="5">
        <v>5</v>
      </c>
      <c r="F28" s="5">
        <v>5</v>
      </c>
      <c r="G28" s="5">
        <v>20.399999999999999</v>
      </c>
      <c r="H28" s="5" t="s">
        <v>202</v>
      </c>
      <c r="I28" s="5">
        <v>1</v>
      </c>
      <c r="J28" s="5">
        <v>5</v>
      </c>
      <c r="K28" s="5">
        <v>5</v>
      </c>
      <c r="L28" s="5">
        <v>7.1</v>
      </c>
    </row>
    <row r="29" spans="1:12" x14ac:dyDescent="0.2">
      <c r="A29" s="5" t="s">
        <v>161</v>
      </c>
      <c r="B29" s="5" t="s">
        <v>202</v>
      </c>
      <c r="C29" s="5" t="s">
        <v>202</v>
      </c>
      <c r="D29" s="5">
        <v>1</v>
      </c>
      <c r="E29" s="5">
        <v>3</v>
      </c>
      <c r="F29" s="5">
        <v>5</v>
      </c>
      <c r="G29" s="5">
        <v>15.7</v>
      </c>
      <c r="H29" s="5" t="s">
        <v>202</v>
      </c>
      <c r="I29" s="5">
        <v>1</v>
      </c>
      <c r="J29" s="5">
        <v>4</v>
      </c>
      <c r="K29" s="5">
        <v>5</v>
      </c>
      <c r="L29" s="5">
        <v>7.1</v>
      </c>
    </row>
    <row r="30" spans="1:12" x14ac:dyDescent="0.2">
      <c r="A30" s="5" t="s">
        <v>171</v>
      </c>
      <c r="B30" s="5" t="s">
        <v>202</v>
      </c>
      <c r="C30" s="5" t="s">
        <v>202</v>
      </c>
      <c r="D30" s="5">
        <v>1</v>
      </c>
      <c r="E30" s="5">
        <v>4</v>
      </c>
      <c r="F30" s="5">
        <v>5</v>
      </c>
      <c r="G30" s="5">
        <v>20.5</v>
      </c>
      <c r="H30" s="5" t="s">
        <v>202</v>
      </c>
      <c r="I30" s="5">
        <v>1</v>
      </c>
      <c r="J30" s="5">
        <v>5</v>
      </c>
      <c r="K30" s="5">
        <v>5</v>
      </c>
      <c r="L30" s="5">
        <v>8</v>
      </c>
    </row>
    <row r="31" spans="1:12" x14ac:dyDescent="0.2">
      <c r="A31" s="5" t="s">
        <v>173</v>
      </c>
      <c r="B31" s="5" t="s">
        <v>202</v>
      </c>
      <c r="C31" s="5" t="s">
        <v>202</v>
      </c>
      <c r="D31" s="5">
        <v>1</v>
      </c>
      <c r="E31" s="5">
        <v>3</v>
      </c>
      <c r="F31" s="5">
        <v>5</v>
      </c>
      <c r="G31" s="5">
        <v>17.7</v>
      </c>
      <c r="H31" s="5" t="s">
        <v>202</v>
      </c>
      <c r="I31" s="5">
        <v>1</v>
      </c>
      <c r="J31" s="5">
        <v>5</v>
      </c>
      <c r="K31" s="5">
        <v>5</v>
      </c>
      <c r="L31" s="5">
        <v>7.4</v>
      </c>
    </row>
    <row r="32" spans="1:12" x14ac:dyDescent="0.2">
      <c r="A32" s="5" t="s">
        <v>177</v>
      </c>
      <c r="B32" s="5" t="s">
        <v>202</v>
      </c>
      <c r="C32" s="5" t="s">
        <v>202</v>
      </c>
      <c r="D32" s="5">
        <v>1</v>
      </c>
      <c r="E32" s="5">
        <v>5</v>
      </c>
      <c r="F32" s="5">
        <v>5</v>
      </c>
      <c r="G32" s="5">
        <v>20.100000000000001</v>
      </c>
      <c r="H32" s="5" t="s">
        <v>202</v>
      </c>
      <c r="I32" s="5">
        <v>1</v>
      </c>
      <c r="J32" s="5">
        <v>4</v>
      </c>
      <c r="K32" s="5">
        <v>5</v>
      </c>
      <c r="L32" s="5">
        <v>7.9</v>
      </c>
    </row>
    <row r="33" spans="1:12" x14ac:dyDescent="0.2">
      <c r="A33" s="5" t="s">
        <v>203</v>
      </c>
      <c r="B33" s="5" t="s">
        <v>204</v>
      </c>
      <c r="C33" s="2" t="s">
        <v>195</v>
      </c>
      <c r="D33" s="5"/>
      <c r="E33" s="5"/>
      <c r="F33" s="5"/>
      <c r="G33" s="5"/>
      <c r="H33" s="5" t="s">
        <v>204</v>
      </c>
      <c r="I33" s="5">
        <v>1</v>
      </c>
      <c r="J33" s="5">
        <v>0</v>
      </c>
      <c r="K33" s="5">
        <v>0</v>
      </c>
      <c r="L33" s="5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Detail</vt:lpstr>
      <vt:lpstr>Per-Doc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 Jones</cp:lastModifiedBy>
  <dcterms:created xsi:type="dcterms:W3CDTF">2026-07-18T19:37:59Z</dcterms:created>
  <dcterms:modified xsi:type="dcterms:W3CDTF">2026-07-18T19:50:40Z</dcterms:modified>
</cp:coreProperties>
</file>